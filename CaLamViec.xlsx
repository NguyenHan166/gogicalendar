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<sst xmlns="http://schemas.openxmlformats.org/spreadsheetml/2006/main" count="397" uniqueCount="397">
  <si>
    <t xml:space="preserve">Danh sách ca</t>
  </si>
  <si>
    <t>STT</t>
  </si>
  <si>
    <t xml:space="preserve">Mã ca</t>
  </si>
  <si>
    <t xml:space="preserve">Tên ca</t>
  </si>
  <si>
    <t xml:space="preserve">Giờ đến</t>
  </si>
  <si>
    <t xml:space="preserve">Giờ về</t>
  </si>
  <si>
    <t xml:space="preserve">TỔNG GIỜ</t>
  </si>
  <si>
    <t xml:space="preserve">Tổng giờ làm</t>
  </si>
  <si>
    <t>A1</t>
  </si>
  <si>
    <t>12:00-19:30</t>
  </si>
  <si>
    <t>A10</t>
  </si>
  <si>
    <t>16:30-00:00</t>
  </si>
  <si>
    <t>A11</t>
  </si>
  <si>
    <t>17:00-00:30</t>
  </si>
  <si>
    <t>A12</t>
  </si>
  <si>
    <t>17:30-01:00</t>
  </si>
  <si>
    <t>A13</t>
  </si>
  <si>
    <t>18:00-01:30</t>
  </si>
  <si>
    <t>A14</t>
  </si>
  <si>
    <t>18:30-02:00</t>
  </si>
  <si>
    <t>A15</t>
  </si>
  <si>
    <t>12:00-20:30</t>
  </si>
  <si>
    <t>A16</t>
  </si>
  <si>
    <t>12:30-21:00</t>
  </si>
  <si>
    <t>A17</t>
  </si>
  <si>
    <t>13:00-21:30</t>
  </si>
  <si>
    <t>A18</t>
  </si>
  <si>
    <t>13:30-22:00</t>
  </si>
  <si>
    <t>A19</t>
  </si>
  <si>
    <t>14:00-22:30</t>
  </si>
  <si>
    <t>A2</t>
  </si>
  <si>
    <t>12:30-20:00</t>
  </si>
  <si>
    <t>A20</t>
  </si>
  <si>
    <t>14:30-23:00</t>
  </si>
  <si>
    <t>A21</t>
  </si>
  <si>
    <t>15:00-23:30</t>
  </si>
  <si>
    <t>A22</t>
  </si>
  <si>
    <t>15:30-00:00</t>
  </si>
  <si>
    <t>A23</t>
  </si>
  <si>
    <t>16:00-00:30</t>
  </si>
  <si>
    <t>A24</t>
  </si>
  <si>
    <t>16:30-01:00</t>
  </si>
  <si>
    <t>A25</t>
  </si>
  <si>
    <t>17:00-01:30</t>
  </si>
  <si>
    <t>A26</t>
  </si>
  <si>
    <t>17:30-02:00</t>
  </si>
  <si>
    <t>A27</t>
  </si>
  <si>
    <t>9:00-19:00</t>
  </si>
  <si>
    <t>A3</t>
  </si>
  <si>
    <t>13:00-20:30</t>
  </si>
  <si>
    <t>A4</t>
  </si>
  <si>
    <t>13:30-21:00</t>
  </si>
  <si>
    <t>A5</t>
  </si>
  <si>
    <t>14:00-21:30</t>
  </si>
  <si>
    <t>A6</t>
  </si>
  <si>
    <t>14:30-22:00</t>
  </si>
  <si>
    <t>A7</t>
  </si>
  <si>
    <t>15:00-22:30</t>
  </si>
  <si>
    <t>A8</t>
  </si>
  <si>
    <t>15:30-23:00</t>
  </si>
  <si>
    <t>A9</t>
  </si>
  <si>
    <t>16:00-23:30</t>
  </si>
  <si>
    <t>AD</t>
  </si>
  <si>
    <t>08:30-17:30</t>
  </si>
  <si>
    <t>AD1</t>
  </si>
  <si>
    <t>AD8</t>
  </si>
  <si>
    <t xml:space="preserve">08:00- 17:00</t>
  </si>
  <si>
    <t>AD9</t>
  </si>
  <si>
    <t xml:space="preserve">08:00- 18:00</t>
  </si>
  <si>
    <t>DC1</t>
  </si>
  <si>
    <t>04:30-13:00</t>
  </si>
  <si>
    <t>DC10</t>
  </si>
  <si>
    <t>DC11</t>
  </si>
  <si>
    <t>22:00-6:00</t>
  </si>
  <si>
    <t>DC12</t>
  </si>
  <si>
    <t>05:00-15:30</t>
  </si>
  <si>
    <t>DC13</t>
  </si>
  <si>
    <t>05:30-16:00</t>
  </si>
  <si>
    <t>DC14</t>
  </si>
  <si>
    <t>06:00-16:30</t>
  </si>
  <si>
    <t>DC15</t>
  </si>
  <si>
    <t>06:30-17:00</t>
  </si>
  <si>
    <t>DC16</t>
  </si>
  <si>
    <t>07:00-17:30</t>
  </si>
  <si>
    <t>DC17</t>
  </si>
  <si>
    <t>07:30-18:00</t>
  </si>
  <si>
    <t>DC18</t>
  </si>
  <si>
    <t>08:00-18:30</t>
  </si>
  <si>
    <t>DC19</t>
  </si>
  <si>
    <t>18:00-6:00</t>
  </si>
  <si>
    <t>DC2</t>
  </si>
  <si>
    <t>05:00-13:30</t>
  </si>
  <si>
    <t>DC3</t>
  </si>
  <si>
    <t>05:30-14:00</t>
  </si>
  <si>
    <t>DC4</t>
  </si>
  <si>
    <t>06:00-14:30</t>
  </si>
  <si>
    <t>DC5</t>
  </si>
  <si>
    <t>06:30-15:00</t>
  </si>
  <si>
    <t>DC6</t>
  </si>
  <si>
    <t>07:00-15:30</t>
  </si>
  <si>
    <t>DC7</t>
  </si>
  <si>
    <t>07:30-16:00</t>
  </si>
  <si>
    <t>DC8</t>
  </si>
  <si>
    <t>08:00-16:30</t>
  </si>
  <si>
    <t>DC9</t>
  </si>
  <si>
    <t>09:00-17:30</t>
  </si>
  <si>
    <t>HAD</t>
  </si>
  <si>
    <t>08:30-12:30</t>
  </si>
  <si>
    <t>HAD1</t>
  </si>
  <si>
    <t>13:30-17:30</t>
  </si>
  <si>
    <t>HAD81</t>
  </si>
  <si>
    <t xml:space="preserve">8:00- 12:00</t>
  </si>
  <si>
    <t>HAD82</t>
  </si>
  <si>
    <t xml:space="preserve">13:00- 17:00</t>
  </si>
  <si>
    <t>HAD91</t>
  </si>
  <si>
    <t xml:space="preserve">08:00- 12:30</t>
  </si>
  <si>
    <t>HAD92</t>
  </si>
  <si>
    <t xml:space="preserve">13:30- 18:00</t>
  </si>
  <si>
    <t>HNP</t>
  </si>
  <si>
    <t xml:space="preserve">Nghỉ không lương nửa ngày (nửa ngày còn lại đi làm)</t>
  </si>
  <si>
    <t>HR</t>
  </si>
  <si>
    <t xml:space="preserve">Nghỉ tuần nửa ngày (nửa ngày còn lại đi làm)</t>
  </si>
  <si>
    <t>M1</t>
  </si>
  <si>
    <t>07:30-15:00</t>
  </si>
  <si>
    <t>M10</t>
  </si>
  <si>
    <t>M11</t>
  </si>
  <si>
    <t>M12</t>
  </si>
  <si>
    <t>08:30-17:00</t>
  </si>
  <si>
    <t>M13</t>
  </si>
  <si>
    <t>M14</t>
  </si>
  <si>
    <t>09:30-18:00</t>
  </si>
  <si>
    <t>M15</t>
  </si>
  <si>
    <t>10:00-18:30</t>
  </si>
  <si>
    <t>M16</t>
  </si>
  <si>
    <t>10:30-19:00</t>
  </si>
  <si>
    <t>M17</t>
  </si>
  <si>
    <t>11:00-19:30</t>
  </si>
  <si>
    <t>M18</t>
  </si>
  <si>
    <t>11:30-20:00</t>
  </si>
  <si>
    <t>M2</t>
  </si>
  <si>
    <t>08:00-15:30</t>
  </si>
  <si>
    <t>M3</t>
  </si>
  <si>
    <t>08:30-16:00</t>
  </si>
  <si>
    <t>M4</t>
  </si>
  <si>
    <t>09:00-16:30</t>
  </si>
  <si>
    <t>M5</t>
  </si>
  <si>
    <t>09:30-17:00</t>
  </si>
  <si>
    <t>M6</t>
  </si>
  <si>
    <t>10:00-17:30</t>
  </si>
  <si>
    <t>M7</t>
  </si>
  <si>
    <t>10:30-18:00</t>
  </si>
  <si>
    <t>M8</t>
  </si>
  <si>
    <t>11:00-18:30</t>
  </si>
  <si>
    <t>M9</t>
  </si>
  <si>
    <t>11:30-19:00</t>
  </si>
  <si>
    <t>MA1</t>
  </si>
  <si>
    <t>07:30-20:00</t>
  </si>
  <si>
    <t>MA10</t>
  </si>
  <si>
    <t>12:00-00:30</t>
  </si>
  <si>
    <t>MA11</t>
  </si>
  <si>
    <t>12:30-01:00</t>
  </si>
  <si>
    <t>MA12</t>
  </si>
  <si>
    <t>13:00-01:30</t>
  </si>
  <si>
    <t>MA13</t>
  </si>
  <si>
    <t>13:30-02:00</t>
  </si>
  <si>
    <t>MA14</t>
  </si>
  <si>
    <t>MA1408_30</t>
  </si>
  <si>
    <t>MA2</t>
  </si>
  <si>
    <t>08:00-20:30</t>
  </si>
  <si>
    <t>MA3</t>
  </si>
  <si>
    <t>08:30-21:00</t>
  </si>
  <si>
    <t>MA4</t>
  </si>
  <si>
    <t>09:00-21:30</t>
  </si>
  <si>
    <t>MA5</t>
  </si>
  <si>
    <t>09:30-22:00</t>
  </si>
  <si>
    <t>MA6</t>
  </si>
  <si>
    <t>10:00-22:30</t>
  </si>
  <si>
    <t>MA7</t>
  </si>
  <si>
    <t>10:30-23:00</t>
  </si>
  <si>
    <t>MA8</t>
  </si>
  <si>
    <t>11:00-23:30</t>
  </si>
  <si>
    <t>MA9</t>
  </si>
  <si>
    <t>11:30-00:00</t>
  </si>
  <si>
    <t>NPL</t>
  </si>
  <si>
    <t xml:space="preserve">Nghỉ không lương</t>
  </si>
  <si>
    <t>P1</t>
  </si>
  <si>
    <t>07:30-12:00</t>
  </si>
  <si>
    <t>P10</t>
  </si>
  <si>
    <t>12:00-16:30</t>
  </si>
  <si>
    <t>P11</t>
  </si>
  <si>
    <t>12:30-17:00</t>
  </si>
  <si>
    <t>P12</t>
  </si>
  <si>
    <t>13:00-17:30</t>
  </si>
  <si>
    <t>P13</t>
  </si>
  <si>
    <t>13:30-18:00</t>
  </si>
  <si>
    <t>P14</t>
  </si>
  <si>
    <t>14:00-18:30</t>
  </si>
  <si>
    <t>P15</t>
  </si>
  <si>
    <t>14:30-19:00</t>
  </si>
  <si>
    <t>P16</t>
  </si>
  <si>
    <t>15:00-19:30</t>
  </si>
  <si>
    <t>P17</t>
  </si>
  <si>
    <t>15:30-20:00</t>
  </si>
  <si>
    <t>P18</t>
  </si>
  <si>
    <t>16:00-20:30</t>
  </si>
  <si>
    <t>P19</t>
  </si>
  <si>
    <t>16:30-21:00</t>
  </si>
  <si>
    <t>P2</t>
  </si>
  <si>
    <t>08:00-12:30</t>
  </si>
  <si>
    <t>P20</t>
  </si>
  <si>
    <t>17:00-21:30</t>
  </si>
  <si>
    <t>P21</t>
  </si>
  <si>
    <t>17:30-22:00</t>
  </si>
  <si>
    <t>P22</t>
  </si>
  <si>
    <t>18:00-22:30</t>
  </si>
  <si>
    <t>P23</t>
  </si>
  <si>
    <t>18:30-23:00</t>
  </si>
  <si>
    <t>P24</t>
  </si>
  <si>
    <t>19:00-23:30</t>
  </si>
  <si>
    <t>P25</t>
  </si>
  <si>
    <t>19:30-00:00</t>
  </si>
  <si>
    <t>P26</t>
  </si>
  <si>
    <t>07:30-13:00</t>
  </si>
  <si>
    <t>P27</t>
  </si>
  <si>
    <t>08:00-13:30</t>
  </si>
  <si>
    <t>P28</t>
  </si>
  <si>
    <t>08:30-14:00</t>
  </si>
  <si>
    <t>P29</t>
  </si>
  <si>
    <t>09:00-14:30</t>
  </si>
  <si>
    <t>P3</t>
  </si>
  <si>
    <t>08:30-13:00</t>
  </si>
  <si>
    <t>P30</t>
  </si>
  <si>
    <t>09:30-15:00</t>
  </si>
  <si>
    <t>P31</t>
  </si>
  <si>
    <t>10:00-15:30</t>
  </si>
  <si>
    <t>P32</t>
  </si>
  <si>
    <t>10:30-16:00</t>
  </si>
  <si>
    <t>P33</t>
  </si>
  <si>
    <t>11:00-16:30</t>
  </si>
  <si>
    <t>P34</t>
  </si>
  <si>
    <t>11:30-17:00</t>
  </si>
  <si>
    <t>P35</t>
  </si>
  <si>
    <t>12:00-17:30</t>
  </si>
  <si>
    <t>P36</t>
  </si>
  <si>
    <t>12:30-18:00</t>
  </si>
  <si>
    <t>P37</t>
  </si>
  <si>
    <t>13:00-18:30</t>
  </si>
  <si>
    <t>P38</t>
  </si>
  <si>
    <t>13:30-19:00</t>
  </si>
  <si>
    <t>P39</t>
  </si>
  <si>
    <t>14:00-19:30</t>
  </si>
  <si>
    <t>P4</t>
  </si>
  <si>
    <t>09:00-13:30</t>
  </si>
  <si>
    <t>P40</t>
  </si>
  <si>
    <t>14:30-20:00</t>
  </si>
  <si>
    <t>P41</t>
  </si>
  <si>
    <t>15:00-20:30</t>
  </si>
  <si>
    <t>P42</t>
  </si>
  <si>
    <t>15:30-21:00</t>
  </si>
  <si>
    <t>P43</t>
  </si>
  <si>
    <t>16:00-21:30</t>
  </si>
  <si>
    <t>P44</t>
  </si>
  <si>
    <t>16:30-22:00</t>
  </si>
  <si>
    <t>P45</t>
  </si>
  <si>
    <t>17:00-22:30</t>
  </si>
  <si>
    <t>P46</t>
  </si>
  <si>
    <t>17:30-23:00</t>
  </si>
  <si>
    <t>P47</t>
  </si>
  <si>
    <t>18:00-23:30</t>
  </si>
  <si>
    <t>P48</t>
  </si>
  <si>
    <t>18:30-00:00</t>
  </si>
  <si>
    <t>P49</t>
  </si>
  <si>
    <t>19:00-00:30</t>
  </si>
  <si>
    <t>P5</t>
  </si>
  <si>
    <t>09:30-14:00</t>
  </si>
  <si>
    <t>P50</t>
  </si>
  <si>
    <t>19:30-01:00</t>
  </si>
  <si>
    <t>P51</t>
  </si>
  <si>
    <t>07:30-14:00</t>
  </si>
  <si>
    <t>P52</t>
  </si>
  <si>
    <t>08:00-14:30</t>
  </si>
  <si>
    <t>P53</t>
  </si>
  <si>
    <t>08:30-15:00</t>
  </si>
  <si>
    <t>P54</t>
  </si>
  <si>
    <t>09:00-15:30</t>
  </si>
  <si>
    <t>P55</t>
  </si>
  <si>
    <t>09:30-16:00</t>
  </si>
  <si>
    <t>P56</t>
  </si>
  <si>
    <t>10:00-16:30</t>
  </si>
  <si>
    <t>P57</t>
  </si>
  <si>
    <t>10:30-17:00</t>
  </si>
  <si>
    <t>P58</t>
  </si>
  <si>
    <t>11:00-17:30</t>
  </si>
  <si>
    <t>P59</t>
  </si>
  <si>
    <t>11:30-18:00</t>
  </si>
  <si>
    <t>P6</t>
  </si>
  <si>
    <t>10:00-14:30</t>
  </si>
  <si>
    <t>P60</t>
  </si>
  <si>
    <t>12:00-18:30</t>
  </si>
  <si>
    <t>P61</t>
  </si>
  <si>
    <t>12:30-19:00</t>
  </si>
  <si>
    <t>P62</t>
  </si>
  <si>
    <t>13:00-19:30</t>
  </si>
  <si>
    <t>P63</t>
  </si>
  <si>
    <t>13:30-20:00</t>
  </si>
  <si>
    <t>P64</t>
  </si>
  <si>
    <t>14:00-20:30</t>
  </si>
  <si>
    <t>P65</t>
  </si>
  <si>
    <t>14:30-21:00</t>
  </si>
  <si>
    <t>P66</t>
  </si>
  <si>
    <t>15:00-21:30</t>
  </si>
  <si>
    <t>P67</t>
  </si>
  <si>
    <t>15:30-22:00</t>
  </si>
  <si>
    <t>P68</t>
  </si>
  <si>
    <t>16:00-22:30</t>
  </si>
  <si>
    <t>P69</t>
  </si>
  <si>
    <t>16:30-23:00</t>
  </si>
  <si>
    <t>P7</t>
  </si>
  <si>
    <t>10:30-15:00</t>
  </si>
  <si>
    <t>P70</t>
  </si>
  <si>
    <t>17:00-23:30</t>
  </si>
  <si>
    <t>P71</t>
  </si>
  <si>
    <t>17:30-00:00</t>
  </si>
  <si>
    <t>P72</t>
  </si>
  <si>
    <t>18:00-00:30</t>
  </si>
  <si>
    <t>P73</t>
  </si>
  <si>
    <t>18:30-01:00</t>
  </si>
  <si>
    <t>P74</t>
  </si>
  <si>
    <t>19:00-01:30</t>
  </si>
  <si>
    <t>P75</t>
  </si>
  <si>
    <t>19:30-02:00</t>
  </si>
  <si>
    <t>P76</t>
  </si>
  <si>
    <t>18:30-22:30</t>
  </si>
  <si>
    <t>P8</t>
  </si>
  <si>
    <t>11:00-15:30</t>
  </si>
  <si>
    <t>P9</t>
  </si>
  <si>
    <t>11:30-16:00</t>
  </si>
  <si>
    <t>R</t>
  </si>
  <si>
    <t xml:space="preserve">Nghỉ tuần</t>
  </si>
  <si>
    <t>S1</t>
  </si>
  <si>
    <t>07:30-20:30</t>
  </si>
  <si>
    <t>S10</t>
  </si>
  <si>
    <t>08:30-21:30</t>
  </si>
  <si>
    <t>S11</t>
  </si>
  <si>
    <t>S12</t>
  </si>
  <si>
    <t>08:30-22:00</t>
  </si>
  <si>
    <t>S13</t>
  </si>
  <si>
    <t>09:00-22:00</t>
  </si>
  <si>
    <t>S14</t>
  </si>
  <si>
    <t>S15</t>
  </si>
  <si>
    <t>09:00-21:00</t>
  </si>
  <si>
    <t>S16</t>
  </si>
  <si>
    <t>S17</t>
  </si>
  <si>
    <t>09:15-21:30</t>
  </si>
  <si>
    <t>S18</t>
  </si>
  <si>
    <t>09:30-21:30</t>
  </si>
  <si>
    <t>S19</t>
  </si>
  <si>
    <t>09:30-22:30</t>
  </si>
  <si>
    <t>S2</t>
  </si>
  <si>
    <t>07:30-21:00</t>
  </si>
  <si>
    <t>S20</t>
  </si>
  <si>
    <t>S21</t>
  </si>
  <si>
    <t>S22</t>
  </si>
  <si>
    <t>S23</t>
  </si>
  <si>
    <t>09:45-22:00</t>
  </si>
  <si>
    <t>S24</t>
  </si>
  <si>
    <t>10:00-22:00</t>
  </si>
  <si>
    <t>S25</t>
  </si>
  <si>
    <t>S26</t>
  </si>
  <si>
    <t>10:00-23:00</t>
  </si>
  <si>
    <t>S27</t>
  </si>
  <si>
    <t>S28</t>
  </si>
  <si>
    <t>10:30-22:00</t>
  </si>
  <si>
    <t>S29</t>
  </si>
  <si>
    <t>10:30-23:30</t>
  </si>
  <si>
    <t>S3</t>
  </si>
  <si>
    <t>S30</t>
  </si>
  <si>
    <t>S31</t>
  </si>
  <si>
    <t>S32</t>
  </si>
  <si>
    <t>11:00-00:00</t>
  </si>
  <si>
    <t>S33</t>
  </si>
  <si>
    <t>S34</t>
  </si>
  <si>
    <t>S35</t>
  </si>
  <si>
    <t>11:30-10:30</t>
  </si>
  <si>
    <t>S36</t>
  </si>
  <si>
    <t>S4</t>
  </si>
  <si>
    <t>S5</t>
  </si>
  <si>
    <t>08:00-20:00</t>
  </si>
  <si>
    <t>S6</t>
  </si>
  <si>
    <t>08:00-21:00</t>
  </si>
  <si>
    <t>S7</t>
  </si>
  <si>
    <t>S8</t>
  </si>
  <si>
    <t>S9</t>
  </si>
  <si>
    <t>TS</t>
  </si>
  <si>
    <t xml:space="preserve">Nghỉ thai sản</t>
  </si>
  <si>
    <t>X</t>
  </si>
  <si>
    <t xml:space="preserve">Công đi làm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</si>
</sst>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[$-F400]h:mm:ss\ AM/PM"/>
    <numFmt numFmtId="165" formatCode="h:mm;@"/>
  </numFmts>
  <fonts count="6">
    <font>
      <sz val="11.000000"/>
      <color theme="1"/>
      <name val="Calibri"/>
      <scheme val="minor"/>
    </font>
    <font>
      <sz val="12.000000"/>
      <color indexed="64"/>
      <name val="Times New Roman"/>
    </font>
    <font>
      <sz val="11.000000"/>
      <color indexed="64"/>
      <name val="Calibri"/>
    </font>
    <font>
      <b/>
      <sz val="14.000000"/>
      <color indexed="64"/>
      <name val="Calibri"/>
    </font>
    <font>
      <b/>
      <sz val="16.000000"/>
      <color indexed="64"/>
      <name val="Times New Roman"/>
    </font>
    <font>
      <b/>
      <sz val="11.000000"/>
      <color indexed="64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/>
    <xf fontId="2" fillId="0" borderId="0" numFmtId="0" xfId="0" applyFont="1" applyAlignment="1">
      <alignment horizontal="center"/>
    </xf>
    <xf fontId="3" fillId="0" borderId="0" numFmtId="0" xfId="0" applyFont="1" applyAlignment="1">
      <alignment horizontal="center" vertical="center"/>
    </xf>
    <xf fontId="4" fillId="0" borderId="0" numFmtId="0" xfId="0" applyFont="1" applyAlignment="1">
      <alignment horizontal="center" wrapText="1"/>
    </xf>
    <xf fontId="4" fillId="0" borderId="0" numFmtId="0" xfId="0" applyFont="1" applyAlignment="1">
      <alignment horizontal="center"/>
    </xf>
    <xf fontId="5" fillId="2" borderId="1" numFmtId="0" xfId="0" applyFont="1" applyFill="1" applyBorder="1" applyAlignment="1">
      <alignment horizontal="center" vertical="center"/>
    </xf>
    <xf fontId="1" fillId="0" borderId="2" numFmtId="0" xfId="0" applyFont="1" applyBorder="1"/>
    <xf fontId="2" fillId="0" borderId="3" numFmtId="1" xfId="0" applyNumberFormat="1" applyFont="1" applyBorder="1" applyAlignment="1">
      <alignment horizontal="left" indent="1" vertical="center"/>
    </xf>
    <xf fontId="2" fillId="0" borderId="3" numFmtId="164" xfId="0" applyNumberFormat="1" applyFont="1" applyBorder="1" applyAlignment="1">
      <alignment horizontal="left" indent="1" vertical="center"/>
    </xf>
    <xf fontId="2" fillId="0" borderId="3" numFmtId="164" xfId="0" applyNumberFormat="1" applyFont="1" applyBorder="1" applyAlignment="1">
      <alignment horizontal="left" indent="1" vertical="center" wrapText="1"/>
    </xf>
    <xf fontId="2" fillId="0" borderId="3" numFmtId="165" xfId="0" applyNumberFormat="1" applyFont="1" applyBorder="1" applyAlignment="1">
      <alignment horizontal="left" indent="1" vertical="center"/>
    </xf>
    <xf fontId="1" fillId="0" borderId="0" numFmtId="165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6.28515625"/>
    <col bestFit="1" customWidth="1" min="2" max="2" width="8.140625"/>
    <col customWidth="1" min="3" max="3" width="23.42578125"/>
    <col customWidth="1" min="4" max="6" width="14.140625"/>
    <col customWidth="1" min="7" max="7" width="15.42578125"/>
    <col customWidth="1" hidden="1" min="8" max="8" width="12.5703125"/>
    <col customWidth="1" hidden="1" min="9" max="9" width="20.140625"/>
    <col customWidth="1" hidden="1" min="10" max="10" width="11.28515625"/>
    <col customWidth="1" min="11" max="11" width="12.85546875"/>
  </cols>
  <sheetData>
    <row r="1" ht="18.75">
      <c r="A1" s="1"/>
      <c r="B1" s="2"/>
      <c r="C1" s="2"/>
      <c r="D1" s="3"/>
      <c r="E1" s="3"/>
      <c r="F1" s="3"/>
      <c r="G1" s="3"/>
      <c r="H1" s="1"/>
      <c r="I1" s="1"/>
      <c r="J1" s="1"/>
      <c r="K1" s="1"/>
    </row>
    <row r="2" ht="19.5">
      <c r="A2" s="1"/>
      <c r="B2" s="4" t="s">
        <v>0</v>
      </c>
      <c r="C2" s="4"/>
      <c r="D2" s="4"/>
      <c r="E2" s="4"/>
      <c r="F2" s="4"/>
      <c r="G2" s="4"/>
      <c r="H2" s="1"/>
      <c r="I2" s="1"/>
      <c r="J2" s="1"/>
      <c r="K2" s="1"/>
    </row>
    <row r="3" ht="19.5">
      <c r="A3" s="1"/>
      <c r="B3" s="5"/>
      <c r="C3" s="5"/>
      <c r="D3" s="5"/>
      <c r="E3" s="5"/>
      <c r="F3" s="5"/>
      <c r="G3" s="5"/>
      <c r="H3" s="1"/>
      <c r="I3" s="1">
        <f>IF(E5&gt;D5,(E5-D5)*24,24+(E5-D5)*24)</f>
        <v>-981804</v>
      </c>
      <c r="J3" s="1"/>
      <c r="K3" s="1"/>
    </row>
    <row r="4" ht="15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4</v>
      </c>
      <c r="G4" s="6" t="s">
        <v>5</v>
      </c>
      <c r="H4" s="1" t="s">
        <v>6</v>
      </c>
      <c r="I4" s="1"/>
      <c r="J4" s="7"/>
      <c r="K4" s="6" t="s">
        <v>7</v>
      </c>
    </row>
    <row r="5" ht="15">
      <c r="A5" s="8">
        <v>1</v>
      </c>
      <c r="B5" s="9" t="s">
        <v>8</v>
      </c>
      <c r="C5" s="10" t="s">
        <v>9</v>
      </c>
      <c r="D5" s="11">
        <v>40909.5</v>
      </c>
      <c r="E5" s="11"/>
      <c r="F5" s="11"/>
      <c r="G5" s="11">
        <v>40909.8125</v>
      </c>
      <c r="H5" s="12">
        <f>(IF(G5&gt;D5,(G5-D5)*24,24+(G5-D5)*24))</f>
        <v>7.5</v>
      </c>
      <c r="I5" s="1">
        <f>(IF(G5&gt;D5,(G5-D5)*24,24+(G5-D5)*24))</f>
        <v>7.5</v>
      </c>
      <c r="J5" s="1"/>
      <c r="K5" s="1">
        <f>I5-0.5</f>
        <v>7</v>
      </c>
    </row>
    <row r="6" ht="15">
      <c r="A6" s="8">
        <v>2</v>
      </c>
      <c r="B6" s="9" t="s">
        <v>10</v>
      </c>
      <c r="C6" s="10" t="s">
        <v>11</v>
      </c>
      <c r="D6" s="11">
        <v>40909.6875</v>
      </c>
      <c r="E6" s="11"/>
      <c r="F6" s="11"/>
      <c r="G6" s="11">
        <v>40909</v>
      </c>
      <c r="H6" s="12">
        <f>(IF(G6&gt;D6,(G6-D6)*24,24+(G6-D6)*24))-4</f>
        <v>3.5</v>
      </c>
      <c r="I6" s="1">
        <f>(IF(G6&gt;D6,(G6-D6)*24,24+(G6-D6)*24))</f>
        <v>7.5</v>
      </c>
      <c r="J6" s="1"/>
      <c r="K6" s="1">
        <f>I6-0.5</f>
        <v>7</v>
      </c>
    </row>
    <row r="7" ht="15">
      <c r="A7" s="8">
        <v>3</v>
      </c>
      <c r="B7" s="9" t="s">
        <v>12</v>
      </c>
      <c r="C7" s="10" t="s">
        <v>13</v>
      </c>
      <c r="D7" s="11">
        <v>40909.708333333328</v>
      </c>
      <c r="E7" s="11"/>
      <c r="F7" s="11"/>
      <c r="G7" s="11">
        <v>40909.020833333328</v>
      </c>
      <c r="H7" s="12">
        <f>(IF(G7&gt;D7,(G7-D7)*24,24+(G7-D7)*24))-4</f>
        <v>3.5</v>
      </c>
      <c r="I7" s="1">
        <f>(IF(G7&gt;D7,(G7-D7)*24,24+(G7-D7)*24))</f>
        <v>7.5</v>
      </c>
      <c r="J7" s="1"/>
      <c r="K7" s="1">
        <f>I7-0.5</f>
        <v>7</v>
      </c>
    </row>
    <row r="8" ht="15">
      <c r="A8" s="8">
        <v>4</v>
      </c>
      <c r="B8" s="9" t="s">
        <v>14</v>
      </c>
      <c r="C8" s="10" t="s">
        <v>15</v>
      </c>
      <c r="D8" s="11">
        <v>40909.729166666664</v>
      </c>
      <c r="E8" s="11"/>
      <c r="F8" s="11"/>
      <c r="G8" s="11">
        <v>40909.041666666664</v>
      </c>
      <c r="H8" s="12">
        <f>(IF(G8&gt;D8,(G8-D8)*24,24+(G8-D8)*24))-4</f>
        <v>3.5</v>
      </c>
      <c r="I8" s="1">
        <f>(IF(G8&gt;D8,(G8-D8)*24,24+(G8-D8)*24))</f>
        <v>7.5</v>
      </c>
      <c r="J8" s="1"/>
      <c r="K8" s="1">
        <f>I8-0.5</f>
        <v>7</v>
      </c>
    </row>
    <row r="9" ht="15">
      <c r="A9" s="8">
        <v>5</v>
      </c>
      <c r="B9" s="9" t="s">
        <v>16</v>
      </c>
      <c r="C9" s="10" t="s">
        <v>17</v>
      </c>
      <c r="D9" s="11">
        <v>40909.75</v>
      </c>
      <c r="E9" s="11"/>
      <c r="F9" s="11"/>
      <c r="G9" s="11">
        <v>40909.0625</v>
      </c>
      <c r="H9" s="12">
        <f>(IF(G9&gt;D9,(G9-D9)*24,24+(G9-D9)*24))-4</f>
        <v>3.5</v>
      </c>
      <c r="I9" s="1">
        <f>(IF(G9&gt;D9,(G9-D9)*24,24+(G9-D9)*24))</f>
        <v>7.5</v>
      </c>
      <c r="J9" s="1"/>
      <c r="K9" s="1">
        <f>I9-0.5</f>
        <v>7</v>
      </c>
    </row>
    <row r="10" ht="15">
      <c r="A10" s="8">
        <v>6</v>
      </c>
      <c r="B10" s="9" t="s">
        <v>18</v>
      </c>
      <c r="C10" s="10" t="s">
        <v>19</v>
      </c>
      <c r="D10" s="11">
        <v>40909.770833333328</v>
      </c>
      <c r="E10" s="11"/>
      <c r="F10" s="11"/>
      <c r="G10" s="11">
        <v>40909.083333333328</v>
      </c>
      <c r="H10" s="12">
        <f>(IF(G10&gt;D10,(G10-D10)*24,24+(G10-D10)*24))-4</f>
        <v>3.5</v>
      </c>
      <c r="I10" s="1">
        <f>(IF(G10&gt;D10,(G10-D10)*24,24+(G10-D10)*24))</f>
        <v>7.5</v>
      </c>
      <c r="J10" s="1"/>
      <c r="K10" s="1">
        <f>I10-0.5</f>
        <v>7</v>
      </c>
    </row>
    <row r="11" ht="15">
      <c r="A11" s="8">
        <v>7</v>
      </c>
      <c r="B11" s="9" t="s">
        <v>20</v>
      </c>
      <c r="C11" s="10" t="s">
        <v>21</v>
      </c>
      <c r="D11" s="11">
        <v>40909.5</v>
      </c>
      <c r="E11" s="11"/>
      <c r="F11" s="11"/>
      <c r="G11" s="11">
        <v>40909.854166666664</v>
      </c>
      <c r="H11" s="12">
        <f>(IF(G11&gt;D11,(G11-D11)*24,24+(G11-D11)*24))-4</f>
        <v>4.4999999999417923</v>
      </c>
      <c r="I11" s="1">
        <f>(IF(G11&gt;D11,(G11-D11)*24,24+(G11-D11)*24))</f>
        <v>8.4999999999417923</v>
      </c>
      <c r="J11" s="1"/>
      <c r="K11" s="1">
        <f>I11-0.5</f>
        <v>7.9999999999417923</v>
      </c>
    </row>
    <row r="12" ht="15">
      <c r="A12" s="8">
        <v>8</v>
      </c>
      <c r="B12" s="9" t="s">
        <v>22</v>
      </c>
      <c r="C12" s="10" t="s">
        <v>23</v>
      </c>
      <c r="D12" s="11">
        <v>40909.520833333328</v>
      </c>
      <c r="E12" s="11"/>
      <c r="F12" s="11"/>
      <c r="G12" s="11">
        <v>40909.875</v>
      </c>
      <c r="H12" s="12">
        <f>(IF(G12&gt;D12,(G12-D12)*24,24+(G12-D12)*24))-4</f>
        <v>4.5000000001164153</v>
      </c>
      <c r="I12" s="1">
        <f>(IF(G12&gt;D12,(G12-D12)*24,24+(G12-D12)*24))</f>
        <v>8.5000000001164153</v>
      </c>
      <c r="J12" s="1"/>
      <c r="K12" s="1">
        <f>I12-0.5</f>
        <v>8.0000000001164153</v>
      </c>
    </row>
    <row r="13" ht="15">
      <c r="A13" s="8">
        <v>9</v>
      </c>
      <c r="B13" s="9" t="s">
        <v>24</v>
      </c>
      <c r="C13" s="10" t="s">
        <v>25</v>
      </c>
      <c r="D13" s="11">
        <v>40909.541666666664</v>
      </c>
      <c r="E13" s="11"/>
      <c r="F13" s="11"/>
      <c r="G13" s="11">
        <v>40909.895833333328</v>
      </c>
      <c r="H13" s="12">
        <f>(IF(G13&gt;D13,(G13-D13)*24,24+(G13-D13)*24))-4</f>
        <v>4.4999999999417923</v>
      </c>
      <c r="I13" s="1">
        <f>(IF(G13&gt;D13,(G13-D13)*24,24+(G13-D13)*24))</f>
        <v>8.4999999999417923</v>
      </c>
      <c r="J13" s="1"/>
      <c r="K13" s="1">
        <f>I13-0.5</f>
        <v>7.9999999999417923</v>
      </c>
    </row>
    <row r="14" ht="15">
      <c r="A14" s="8">
        <v>10</v>
      </c>
      <c r="B14" s="9" t="s">
        <v>26</v>
      </c>
      <c r="C14" s="10" t="s">
        <v>27</v>
      </c>
      <c r="D14" s="11">
        <v>40909.5625</v>
      </c>
      <c r="E14" s="11"/>
      <c r="F14" s="11"/>
      <c r="G14" s="11">
        <v>40909.916666666664</v>
      </c>
      <c r="H14" s="12">
        <f>(IF(G14&gt;D14,(G14-D14)*24,24+(G14-D14)*24))-4</f>
        <v>4.4999999999417923</v>
      </c>
      <c r="I14" s="1">
        <f>(IF(G14&gt;D14,(G14-D14)*24,24+(G14-D14)*24))</f>
        <v>8.4999999999417923</v>
      </c>
      <c r="J14" s="1"/>
      <c r="K14" s="1">
        <f>I14-0.5</f>
        <v>7.9999999999417923</v>
      </c>
    </row>
    <row r="15" ht="15">
      <c r="A15" s="8">
        <v>11</v>
      </c>
      <c r="B15" s="9" t="s">
        <v>28</v>
      </c>
      <c r="C15" s="10" t="s">
        <v>29</v>
      </c>
      <c r="D15" s="11">
        <v>40909.583333333328</v>
      </c>
      <c r="E15" s="11"/>
      <c r="F15" s="11"/>
      <c r="G15" s="11">
        <v>40909.9375</v>
      </c>
      <c r="H15" s="12">
        <f>(IF(G15&gt;D15,(G15-D15)*24,24+(G15-D15)*24))-4</f>
        <v>4.5000000001164153</v>
      </c>
      <c r="I15" s="1">
        <f>(IF(G15&gt;D15,(G15-D15)*24,24+(G15-D15)*24))</f>
        <v>8.5000000001164153</v>
      </c>
      <c r="J15" s="1"/>
      <c r="K15" s="1">
        <f>I15-0.5</f>
        <v>8.0000000001164153</v>
      </c>
    </row>
    <row r="16" ht="15">
      <c r="A16" s="8">
        <v>12</v>
      </c>
      <c r="B16" s="9" t="s">
        <v>30</v>
      </c>
      <c r="C16" s="10" t="s">
        <v>31</v>
      </c>
      <c r="D16" s="11">
        <v>40909.520833333328</v>
      </c>
      <c r="E16" s="11"/>
      <c r="F16" s="11"/>
      <c r="G16" s="11">
        <v>40909.833333333328</v>
      </c>
      <c r="H16" s="12">
        <f>(IF(G16&gt;D16,(G16-D16)*24,24+(G16-D16)*24))-4</f>
        <v>3.5</v>
      </c>
      <c r="I16" s="1">
        <f>(IF(G16&gt;D16,(G16-D16)*24,24+(G16-D16)*24))</f>
        <v>7.5</v>
      </c>
      <c r="J16" s="1"/>
      <c r="K16" s="1">
        <f>I16-0.5</f>
        <v>7</v>
      </c>
    </row>
    <row r="17" ht="15">
      <c r="A17" s="8">
        <v>13</v>
      </c>
      <c r="B17" s="9" t="s">
        <v>32</v>
      </c>
      <c r="C17" s="10" t="s">
        <v>33</v>
      </c>
      <c r="D17" s="11">
        <v>40909.604166666664</v>
      </c>
      <c r="E17" s="11"/>
      <c r="F17" s="11"/>
      <c r="G17" s="11">
        <v>40909.958333333328</v>
      </c>
      <c r="H17" s="12">
        <f>(IF(G17&gt;D17,(G17-D17)*24,24+(G17-D17)*24))-4</f>
        <v>4.4999999999417923</v>
      </c>
      <c r="I17" s="1">
        <f>(IF(G17&gt;D17,(G17-D17)*24,24+(G17-D17)*24))</f>
        <v>8.4999999999417923</v>
      </c>
      <c r="J17" s="1"/>
      <c r="K17" s="1">
        <f>I17-0.5</f>
        <v>7.9999999999417923</v>
      </c>
    </row>
    <row r="18" ht="15">
      <c r="A18" s="8">
        <v>14</v>
      </c>
      <c r="B18" s="9" t="s">
        <v>34</v>
      </c>
      <c r="C18" s="10" t="s">
        <v>35</v>
      </c>
      <c r="D18" s="11">
        <v>40909.625</v>
      </c>
      <c r="E18" s="11"/>
      <c r="F18" s="11"/>
      <c r="G18" s="11">
        <v>40909.979166666664</v>
      </c>
      <c r="H18" s="12">
        <f>(IF(G18&gt;D18,(G18-D18)*24,24+(G18-D18)*24))-4</f>
        <v>4.4999999999417923</v>
      </c>
      <c r="I18" s="1">
        <f>(IF(G18&gt;D18,(G18-D18)*24,24+(G18-D18)*24))</f>
        <v>8.4999999999417923</v>
      </c>
      <c r="J18" s="1"/>
      <c r="K18" s="1">
        <f>I18-0.5</f>
        <v>7.9999999999417923</v>
      </c>
    </row>
    <row r="19" ht="15">
      <c r="A19" s="8">
        <v>15</v>
      </c>
      <c r="B19" s="9" t="s">
        <v>36</v>
      </c>
      <c r="C19" s="10" t="s">
        <v>37</v>
      </c>
      <c r="D19" s="11">
        <v>40909.645833333328</v>
      </c>
      <c r="E19" s="11"/>
      <c r="F19" s="11"/>
      <c r="G19" s="11">
        <v>40909</v>
      </c>
      <c r="H19" s="12">
        <f>(IF(G19&gt;D19,(G19-D19)*24,24+(G19-D19)*24))-4</f>
        <v>4.5000000001164153</v>
      </c>
      <c r="I19" s="1">
        <f>(IF(G19&gt;D19,(G19-D19)*24,24+(G19-D19)*24))</f>
        <v>8.5000000001164153</v>
      </c>
      <c r="J19" s="1"/>
      <c r="K19" s="1">
        <f>I19-0.5</f>
        <v>8.0000000001164153</v>
      </c>
    </row>
    <row r="20" ht="15">
      <c r="A20" s="8">
        <v>16</v>
      </c>
      <c r="B20" s="9" t="s">
        <v>38</v>
      </c>
      <c r="C20" s="10" t="s">
        <v>39</v>
      </c>
      <c r="D20" s="11">
        <v>40909.666666666664</v>
      </c>
      <c r="E20" s="11"/>
      <c r="F20" s="11"/>
      <c r="G20" s="11">
        <v>40909.020833333328</v>
      </c>
      <c r="H20" s="12">
        <f>(IF(G20&gt;D20,(G20-D20)*24,24+(G20-D20)*24))-4</f>
        <v>4.4999999999417923</v>
      </c>
      <c r="I20" s="1">
        <f>(IF(G20&gt;D20,(G20-D20)*24,24+(G20-D20)*24))</f>
        <v>8.4999999999417923</v>
      </c>
      <c r="J20" s="1"/>
      <c r="K20" s="1">
        <f>I20-0.5</f>
        <v>7.9999999999417923</v>
      </c>
    </row>
    <row r="21" ht="15">
      <c r="A21" s="8">
        <v>17</v>
      </c>
      <c r="B21" s="9" t="s">
        <v>40</v>
      </c>
      <c r="C21" s="10" t="s">
        <v>41</v>
      </c>
      <c r="D21" s="11">
        <v>40909.6875</v>
      </c>
      <c r="E21" s="11"/>
      <c r="F21" s="11"/>
      <c r="G21" s="11">
        <v>40909.041666666664</v>
      </c>
      <c r="H21" s="12">
        <f>(IF(G21&gt;D21,(G21-D21)*24,24+(G21-D21)*24))-4</f>
        <v>4.4999999999417923</v>
      </c>
      <c r="I21" s="1">
        <f>(IF(G21&gt;D21,(G21-D21)*24,24+(G21-D21)*24))</f>
        <v>8.4999999999417923</v>
      </c>
      <c r="J21" s="1"/>
      <c r="K21" s="1">
        <f>I21-0.5</f>
        <v>7.9999999999417923</v>
      </c>
    </row>
    <row r="22" ht="15">
      <c r="A22" s="8">
        <v>18</v>
      </c>
      <c r="B22" s="9" t="s">
        <v>42</v>
      </c>
      <c r="C22" s="10" t="s">
        <v>43</v>
      </c>
      <c r="D22" s="11">
        <v>40909.708333333328</v>
      </c>
      <c r="E22" s="11"/>
      <c r="F22" s="11"/>
      <c r="G22" s="11">
        <v>40909.0625</v>
      </c>
      <c r="H22" s="12">
        <f>(IF(G22&gt;D22,(G22-D22)*24,24+(G22-D22)*24))-4</f>
        <v>4.5000000001164153</v>
      </c>
      <c r="I22" s="1">
        <f>(IF(G22&gt;D22,(G22-D22)*24,24+(G22-D22)*24))</f>
        <v>8.5000000001164153</v>
      </c>
      <c r="J22" s="1"/>
      <c r="K22" s="1">
        <f>I22-0.5</f>
        <v>8.0000000001164153</v>
      </c>
    </row>
    <row r="23" ht="15">
      <c r="A23" s="8">
        <v>19</v>
      </c>
      <c r="B23" s="9" t="s">
        <v>44</v>
      </c>
      <c r="C23" s="10" t="s">
        <v>45</v>
      </c>
      <c r="D23" s="11">
        <v>40909.729166666664</v>
      </c>
      <c r="E23" s="11"/>
      <c r="F23" s="11"/>
      <c r="G23" s="11">
        <v>40909.083333333328</v>
      </c>
      <c r="H23" s="12">
        <f>(IF(G23&gt;D23,(G23-D23)*24,24+(G23-D23)*24))-4</f>
        <v>4.4999999999417923</v>
      </c>
      <c r="I23" s="1">
        <f>(IF(G23&gt;D23,(G23-D23)*24,24+(G23-D23)*24))</f>
        <v>8.4999999999417923</v>
      </c>
      <c r="J23" s="1"/>
      <c r="K23" s="1">
        <f>I23-0.5</f>
        <v>7.9999999999417923</v>
      </c>
    </row>
    <row r="24" ht="15">
      <c r="A24" s="8">
        <v>20</v>
      </c>
      <c r="B24" s="9" t="s">
        <v>46</v>
      </c>
      <c r="C24" s="10" t="s">
        <v>47</v>
      </c>
      <c r="D24" s="11">
        <v>42621.375</v>
      </c>
      <c r="E24" s="11">
        <v>42621</v>
      </c>
      <c r="F24" s="11">
        <v>42621</v>
      </c>
      <c r="G24" s="11">
        <v>42621.791666666664</v>
      </c>
      <c r="H24" s="12">
        <f>(IF(G24&gt;D24,(G24-D24)*24,24+(G24-D24)*24))-4</f>
        <v>5.9999999999417923</v>
      </c>
      <c r="I24" s="1">
        <f>(IF(G24&gt;D24,(G24-D24)*24,24+(G24-D24)*24))</f>
        <v>9.9999999999417923</v>
      </c>
      <c r="J24" s="1"/>
      <c r="K24" s="1">
        <v>10</v>
      </c>
    </row>
    <row r="25" ht="15">
      <c r="A25" s="8">
        <v>21</v>
      </c>
      <c r="B25" s="9" t="s">
        <v>48</v>
      </c>
      <c r="C25" s="10" t="s">
        <v>49</v>
      </c>
      <c r="D25" s="11">
        <v>40909.541666666664</v>
      </c>
      <c r="E25" s="11"/>
      <c r="F25" s="11"/>
      <c r="G25" s="11">
        <v>40909.854166666664</v>
      </c>
      <c r="H25" s="12">
        <f>(IF(G25&gt;D25,(G25-D25)*24,24+(G25-D25)*24))-4</f>
        <v>3.5</v>
      </c>
      <c r="I25" s="1">
        <f>(IF(G25&gt;D25,(G25-D25)*24,24+(G25-D25)*24))</f>
        <v>7.5</v>
      </c>
      <c r="J25" s="1"/>
      <c r="K25" s="1">
        <f>I25-0.5</f>
        <v>7</v>
      </c>
    </row>
    <row r="26" ht="15">
      <c r="A26" s="8">
        <v>22</v>
      </c>
      <c r="B26" s="9" t="s">
        <v>50</v>
      </c>
      <c r="C26" s="10" t="s">
        <v>51</v>
      </c>
      <c r="D26" s="11">
        <v>40909.5625</v>
      </c>
      <c r="E26" s="11"/>
      <c r="F26" s="11"/>
      <c r="G26" s="11">
        <v>40909.875</v>
      </c>
      <c r="H26" s="12">
        <f>(IF(G26&gt;D26,(G26-D26)*24,24+(G26-D26)*24))-4</f>
        <v>3.5</v>
      </c>
      <c r="I26" s="1">
        <f>(IF(G26&gt;D26,(G26-D26)*24,24+(G26-D26)*24))</f>
        <v>7.5</v>
      </c>
      <c r="J26" s="1"/>
      <c r="K26" s="1">
        <f>I26-0.5</f>
        <v>7</v>
      </c>
    </row>
    <row r="27" ht="15">
      <c r="A27" s="8">
        <v>23</v>
      </c>
      <c r="B27" s="9" t="s">
        <v>52</v>
      </c>
      <c r="C27" s="10" t="s">
        <v>53</v>
      </c>
      <c r="D27" s="11">
        <v>40909.583333333328</v>
      </c>
      <c r="E27" s="11"/>
      <c r="F27" s="11"/>
      <c r="G27" s="11">
        <v>40909.895833333328</v>
      </c>
      <c r="H27" s="12">
        <f>(IF(G27&gt;D27,(G27-D27)*24,24+(G27-D27)*24))-4</f>
        <v>3.5</v>
      </c>
      <c r="I27" s="1">
        <f>(IF(G27&gt;D27,(G27-D27)*24,24+(G27-D27)*24))</f>
        <v>7.5</v>
      </c>
      <c r="J27" s="1"/>
      <c r="K27" s="1">
        <f>I27-0.5</f>
        <v>7</v>
      </c>
    </row>
    <row r="28" ht="15">
      <c r="A28" s="8">
        <v>24</v>
      </c>
      <c r="B28" s="9" t="s">
        <v>54</v>
      </c>
      <c r="C28" s="10" t="s">
        <v>55</v>
      </c>
      <c r="D28" s="11">
        <v>40909.604166666664</v>
      </c>
      <c r="E28" s="11"/>
      <c r="F28" s="11"/>
      <c r="G28" s="11">
        <v>40909.916666666664</v>
      </c>
      <c r="H28" s="12">
        <f>(IF(G28&gt;D28,(G28-D28)*24,24+(G28-D28)*24))-4</f>
        <v>3.5</v>
      </c>
      <c r="I28" s="1">
        <f>(IF(G28&gt;D28,(G28-D28)*24,24+(G28-D28)*24))</f>
        <v>7.5</v>
      </c>
      <c r="J28" s="1"/>
      <c r="K28" s="1">
        <f>I28-0.5</f>
        <v>7</v>
      </c>
    </row>
    <row r="29" ht="15">
      <c r="A29" s="8">
        <v>25</v>
      </c>
      <c r="B29" s="9" t="s">
        <v>56</v>
      </c>
      <c r="C29" s="10" t="s">
        <v>57</v>
      </c>
      <c r="D29" s="11">
        <v>40909.625</v>
      </c>
      <c r="E29" s="11"/>
      <c r="F29" s="11"/>
      <c r="G29" s="11">
        <v>40909.9375</v>
      </c>
      <c r="H29" s="12">
        <f>(IF(G29&gt;D29,(G29-D29)*24,24+(G29-D29)*24))-4</f>
        <v>3.5</v>
      </c>
      <c r="I29" s="1">
        <f>(IF(G29&gt;D29,(G29-D29)*24,24+(G29-D29)*24))</f>
        <v>7.5</v>
      </c>
      <c r="J29" s="1"/>
      <c r="K29" s="1">
        <f>I29-0.5</f>
        <v>7</v>
      </c>
    </row>
    <row r="30" ht="15">
      <c r="A30" s="8">
        <v>26</v>
      </c>
      <c r="B30" s="9" t="s">
        <v>58</v>
      </c>
      <c r="C30" s="10" t="s">
        <v>59</v>
      </c>
      <c r="D30" s="11">
        <v>40909.645833333328</v>
      </c>
      <c r="E30" s="11"/>
      <c r="F30" s="11"/>
      <c r="G30" s="11">
        <v>40909.958333333328</v>
      </c>
      <c r="H30" s="12">
        <f>(IF(G30&gt;D30,(G30-D30)*24,24+(G30-D30)*24))-4</f>
        <v>3.5</v>
      </c>
      <c r="I30" s="1">
        <f>(IF(G30&gt;D30,(G30-D30)*24,24+(G30-D30)*24))</f>
        <v>7.5</v>
      </c>
      <c r="J30" s="1"/>
      <c r="K30" s="1">
        <f>I30-0.5</f>
        <v>7</v>
      </c>
    </row>
    <row r="31" ht="15">
      <c r="A31" s="8">
        <v>27</v>
      </c>
      <c r="B31" s="9" t="s">
        <v>60</v>
      </c>
      <c r="C31" s="10" t="s">
        <v>61</v>
      </c>
      <c r="D31" s="11">
        <v>40909.666666666664</v>
      </c>
      <c r="E31" s="11"/>
      <c r="F31" s="11"/>
      <c r="G31" s="11">
        <v>40909.979166666664</v>
      </c>
      <c r="H31" s="12">
        <f>(IF(G31&gt;D31,(G31-D31)*24,24+(G31-D31)*24))-4</f>
        <v>3.5</v>
      </c>
      <c r="I31" s="1">
        <f>(IF(G31&gt;D31,(G31-D31)*24,24+(G31-D31)*24))</f>
        <v>7.5</v>
      </c>
      <c r="J31" s="1"/>
      <c r="K31" s="1">
        <f>I31-0.5</f>
        <v>7</v>
      </c>
    </row>
    <row r="32" ht="15">
      <c r="A32" s="8">
        <v>28</v>
      </c>
      <c r="B32" s="9" t="s">
        <v>62</v>
      </c>
      <c r="C32" s="10" t="s">
        <v>63</v>
      </c>
      <c r="D32" s="11">
        <v>40909.354166666664</v>
      </c>
      <c r="E32" s="11">
        <v>42270</v>
      </c>
      <c r="F32" s="11">
        <v>42270</v>
      </c>
      <c r="G32" s="11">
        <v>40909.729166666664</v>
      </c>
      <c r="H32" s="12">
        <f>(IF(G32&gt;D32,(G32-D32)*24,24+(G32-D32)*24))-4</f>
        <v>5</v>
      </c>
      <c r="I32" s="1">
        <f>(IF(G32&gt;D32,(G32-D32)*24,24+(G32-D32)*24))</f>
        <v>9</v>
      </c>
      <c r="J32" s="1"/>
      <c r="K32" s="1">
        <f>I32</f>
        <v>9</v>
      </c>
    </row>
    <row r="33" ht="15">
      <c r="A33" s="8">
        <v>29</v>
      </c>
      <c r="B33" s="9" t="s">
        <v>64</v>
      </c>
      <c r="C33" s="10" t="s">
        <v>64</v>
      </c>
      <c r="D33" s="11">
        <v>42872.333333333328</v>
      </c>
      <c r="E33" s="11">
        <v>42872</v>
      </c>
      <c r="F33" s="11">
        <v>42872</v>
      </c>
      <c r="G33" s="11">
        <v>42872.708333333328</v>
      </c>
      <c r="H33" s="12">
        <f>(IF(G33&gt;D33,(G33-D33)*24,24+(G33-D33)*24))-4</f>
        <v>5</v>
      </c>
      <c r="I33" s="1">
        <f>(IF(G33&gt;D33,(G33-D33)*24,24+(G33-D33)*24))</f>
        <v>9</v>
      </c>
      <c r="J33" s="1"/>
      <c r="K33" s="1">
        <f>I33</f>
        <v>9</v>
      </c>
    </row>
    <row r="34" ht="15">
      <c r="A34" s="8">
        <v>30</v>
      </c>
      <c r="B34" s="9" t="s">
        <v>65</v>
      </c>
      <c r="C34" s="10" t="s">
        <v>66</v>
      </c>
      <c r="D34" s="11">
        <v>43236.333333333328</v>
      </c>
      <c r="E34" s="11">
        <v>43236</v>
      </c>
      <c r="F34" s="11">
        <v>43236</v>
      </c>
      <c r="G34" s="11">
        <v>43236.708333333328</v>
      </c>
      <c r="H34" s="12">
        <f>(IF(G34&gt;D34,(G34-D34)*24,24+(G34-D34)*24))-4</f>
        <v>5</v>
      </c>
      <c r="I34" s="1">
        <f>(IF(G34&gt;D34,(G34-D34)*24,24+(G34-D34)*24))</f>
        <v>9</v>
      </c>
      <c r="J34" s="1"/>
      <c r="K34" s="1">
        <f>I34</f>
        <v>9</v>
      </c>
    </row>
    <row r="35" ht="15">
      <c r="A35" s="8">
        <v>31</v>
      </c>
      <c r="B35" s="9" t="s">
        <v>67</v>
      </c>
      <c r="C35" s="10" t="s">
        <v>68</v>
      </c>
      <c r="D35" s="11">
        <v>43236.333333333328</v>
      </c>
      <c r="E35" s="11">
        <v>43236</v>
      </c>
      <c r="F35" s="11">
        <v>43236</v>
      </c>
      <c r="G35" s="11">
        <v>43236.75</v>
      </c>
      <c r="H35" s="12">
        <f>(IF(G35&gt;D35,(G35-D35)*24,24+(G35-D35)*24))-4</f>
        <v>6.0000000001164153</v>
      </c>
      <c r="I35" s="1">
        <f>(IF(G35&gt;D35,(G35-D35)*24,24+(G35-D35)*24))</f>
        <v>10.000000000116415</v>
      </c>
      <c r="J35" s="1"/>
      <c r="K35" s="1">
        <f>I35</f>
        <v>10.000000000116415</v>
      </c>
    </row>
    <row r="36" ht="15">
      <c r="A36" s="8">
        <v>32</v>
      </c>
      <c r="B36" s="9" t="s">
        <v>69</v>
      </c>
      <c r="C36" s="10" t="s">
        <v>70</v>
      </c>
      <c r="D36" s="11">
        <v>40909.1875</v>
      </c>
      <c r="E36" s="11"/>
      <c r="F36" s="11"/>
      <c r="G36" s="11">
        <v>40909.541666666664</v>
      </c>
      <c r="H36" s="12">
        <f>(IF(G36&gt;D36,(G36-D36)*24,24+(G36-D36)*24))-4</f>
        <v>4.4999999999417923</v>
      </c>
      <c r="I36" s="1">
        <f>(IF(G36&gt;D36,(G36-D36)*24,24+(G36-D36)*24))</f>
        <v>8.4999999999417923</v>
      </c>
      <c r="J36" s="1"/>
      <c r="K36" s="1">
        <f>I36-0.5</f>
        <v>7.9999999999417923</v>
      </c>
    </row>
    <row r="37" ht="15">
      <c r="A37" s="8">
        <v>33</v>
      </c>
      <c r="B37" s="9" t="s">
        <v>71</v>
      </c>
      <c r="C37" s="10" t="s">
        <v>27</v>
      </c>
      <c r="D37" s="11">
        <v>40909.5625</v>
      </c>
      <c r="E37" s="11"/>
      <c r="F37" s="11"/>
      <c r="G37" s="11">
        <v>40909.916666666664</v>
      </c>
      <c r="H37" s="12">
        <f>(IF(G37&gt;D37,(G37-D37)*24,24+(G37-D37)*24))-4</f>
        <v>4.4999999999417923</v>
      </c>
      <c r="I37" s="1">
        <f>(IF(G37&gt;D37,(G37-D37)*24,24+(G37-D37)*24))</f>
        <v>8.4999999999417923</v>
      </c>
      <c r="J37" s="1"/>
      <c r="K37" s="1">
        <f>I37-0.5</f>
        <v>7.9999999999417923</v>
      </c>
    </row>
    <row r="38" ht="15">
      <c r="A38" s="8">
        <v>34</v>
      </c>
      <c r="B38" s="9" t="s">
        <v>72</v>
      </c>
      <c r="C38" s="10" t="s">
        <v>73</v>
      </c>
      <c r="D38" s="11">
        <v>40909.916666666664</v>
      </c>
      <c r="E38" s="11">
        <v>42443</v>
      </c>
      <c r="F38" s="11">
        <v>42443</v>
      </c>
      <c r="G38" s="11">
        <v>40909.25</v>
      </c>
      <c r="H38" s="12">
        <f>(IF(G38&gt;D38,(G38-D38)*24,24+(G38-D38)*24))-4</f>
        <v>4.0000000000582077</v>
      </c>
      <c r="I38" s="1">
        <f>(IF(G38&gt;D38,(G38-D38)*24,24+(G38-D38)*24))</f>
        <v>8.0000000000582077</v>
      </c>
      <c r="J38" s="1"/>
      <c r="K38" s="1">
        <f>I38</f>
        <v>8.0000000000582077</v>
      </c>
    </row>
    <row r="39" ht="15">
      <c r="A39" s="8">
        <v>35</v>
      </c>
      <c r="B39" s="9" t="s">
        <v>74</v>
      </c>
      <c r="C39" s="10" t="s">
        <v>75</v>
      </c>
      <c r="D39" s="11">
        <v>42541.208333333328</v>
      </c>
      <c r="E39" s="11">
        <v>42541</v>
      </c>
      <c r="F39" s="11">
        <v>42541</v>
      </c>
      <c r="G39" s="11">
        <v>42541.645833333328</v>
      </c>
      <c r="H39" s="12">
        <f>(IF(G39&gt;D39,(G39-D39)*24,24+(G39-D39)*24))-4</f>
        <v>6.5</v>
      </c>
      <c r="I39" s="1">
        <f>(IF(G39&gt;D39,(G39-D39)*24,24+(G39-D39)*24))</f>
        <v>10.5</v>
      </c>
      <c r="J39" s="1"/>
      <c r="K39" s="1">
        <f>I39-0.5</f>
        <v>10</v>
      </c>
    </row>
    <row r="40" ht="15">
      <c r="A40" s="8">
        <v>36</v>
      </c>
      <c r="B40" s="9" t="s">
        <v>76</v>
      </c>
      <c r="C40" s="10" t="s">
        <v>77</v>
      </c>
      <c r="D40" s="11">
        <v>42541.229166666664</v>
      </c>
      <c r="E40" s="11">
        <v>42541</v>
      </c>
      <c r="F40" s="11">
        <v>42541</v>
      </c>
      <c r="G40" s="11">
        <v>42541.666666666664</v>
      </c>
      <c r="H40" s="12">
        <f>(IF(G40&gt;D40,(G40-D40)*24,24+(G40-D40)*24))-4</f>
        <v>6.5</v>
      </c>
      <c r="I40" s="1">
        <f>(IF(G40&gt;D40,(G40-D40)*24,24+(G40-D40)*24))</f>
        <v>10.5</v>
      </c>
      <c r="J40" s="1"/>
      <c r="K40" s="1">
        <f>I40-0.5</f>
        <v>10</v>
      </c>
    </row>
    <row r="41" ht="15">
      <c r="A41" s="8">
        <v>37</v>
      </c>
      <c r="B41" s="9" t="s">
        <v>78</v>
      </c>
      <c r="C41" s="10" t="s">
        <v>79</v>
      </c>
      <c r="D41" s="11">
        <v>42541.25</v>
      </c>
      <c r="E41" s="11">
        <v>42541</v>
      </c>
      <c r="F41" s="11">
        <v>42541</v>
      </c>
      <c r="G41" s="11">
        <v>42541.6875</v>
      </c>
      <c r="H41" s="12">
        <f>(IF(G41&gt;D41,(G41-D41)*24,24+(G41-D41)*24))-4</f>
        <v>6.5</v>
      </c>
      <c r="I41" s="1">
        <f>(IF(G41&gt;D41,(G41-D41)*24,24+(G41-D41)*24))</f>
        <v>10.5</v>
      </c>
      <c r="J41" s="1"/>
      <c r="K41" s="1">
        <f>I41-0.5</f>
        <v>10</v>
      </c>
    </row>
    <row r="42" ht="15">
      <c r="A42" s="8">
        <v>38</v>
      </c>
      <c r="B42" s="9" t="s">
        <v>80</v>
      </c>
      <c r="C42" s="10" t="s">
        <v>81</v>
      </c>
      <c r="D42" s="11">
        <v>42541.270833333328</v>
      </c>
      <c r="E42" s="11">
        <v>42541</v>
      </c>
      <c r="F42" s="11">
        <v>42541</v>
      </c>
      <c r="G42" s="11">
        <v>42541.708333333328</v>
      </c>
      <c r="H42" s="12">
        <f>(IF(G42&gt;D42,(G42-D42)*24,24+(G42-D42)*24))-4</f>
        <v>6.5</v>
      </c>
      <c r="I42" s="1">
        <f>(IF(G42&gt;D42,(G42-D42)*24,24+(G42-D42)*24))</f>
        <v>10.5</v>
      </c>
      <c r="J42" s="1"/>
      <c r="K42" s="1">
        <f>I42-0.5</f>
        <v>10</v>
      </c>
    </row>
    <row r="43" ht="15">
      <c r="A43" s="8">
        <v>39</v>
      </c>
      <c r="B43" s="9" t="s">
        <v>82</v>
      </c>
      <c r="C43" s="10" t="s">
        <v>83</v>
      </c>
      <c r="D43" s="11">
        <v>42541.291666666664</v>
      </c>
      <c r="E43" s="11">
        <v>42541</v>
      </c>
      <c r="F43" s="11">
        <v>42541</v>
      </c>
      <c r="G43" s="11">
        <v>42541.729166666664</v>
      </c>
      <c r="H43" s="12">
        <f>(IF(G43&gt;D43,(G43-D43)*24,24+(G43-D43)*24))-4</f>
        <v>6.5</v>
      </c>
      <c r="I43" s="1">
        <f>(IF(G43&gt;D43,(G43-D43)*24,24+(G43-D43)*24))</f>
        <v>10.5</v>
      </c>
      <c r="J43" s="1"/>
      <c r="K43" s="1">
        <f>I43-0.5</f>
        <v>10</v>
      </c>
    </row>
    <row r="44" ht="15">
      <c r="A44" s="8">
        <v>40</v>
      </c>
      <c r="B44" s="9" t="s">
        <v>84</v>
      </c>
      <c r="C44" s="10" t="s">
        <v>85</v>
      </c>
      <c r="D44" s="11">
        <v>42541.3125</v>
      </c>
      <c r="E44" s="11">
        <v>42541</v>
      </c>
      <c r="F44" s="11">
        <v>42541</v>
      </c>
      <c r="G44" s="11">
        <v>42541.75</v>
      </c>
      <c r="H44" s="12">
        <f>(IF(G44&gt;D44,(G44-D44)*24,24+(G44-D44)*24))-4</f>
        <v>6.5</v>
      </c>
      <c r="I44" s="1">
        <f>(IF(G44&gt;D44,(G44-D44)*24,24+(G44-D44)*24))</f>
        <v>10.5</v>
      </c>
      <c r="J44" s="1"/>
      <c r="K44" s="1">
        <f>I44-0.5</f>
        <v>10</v>
      </c>
    </row>
    <row r="45" ht="15">
      <c r="A45" s="8">
        <v>41</v>
      </c>
      <c r="B45" s="9" t="s">
        <v>86</v>
      </c>
      <c r="C45" s="10" t="s">
        <v>87</v>
      </c>
      <c r="D45" s="11">
        <v>42541.333333333328</v>
      </c>
      <c r="E45" s="11">
        <v>42541</v>
      </c>
      <c r="F45" s="11">
        <v>42541</v>
      </c>
      <c r="G45" s="11">
        <v>42541.770833333328</v>
      </c>
      <c r="H45" s="12">
        <f>(IF(G45&gt;D45,(G45-D45)*24,24+(G45-D45)*24))-4</f>
        <v>6.5</v>
      </c>
      <c r="I45" s="1">
        <f>(IF(G45&gt;D45,(G45-D45)*24,24+(G45-D45)*24))</f>
        <v>10.5</v>
      </c>
      <c r="J45" s="1"/>
      <c r="K45" s="1">
        <f>I45-0.5</f>
        <v>10</v>
      </c>
    </row>
    <row r="46" ht="15">
      <c r="A46" s="8">
        <v>42</v>
      </c>
      <c r="B46" s="9" t="s">
        <v>88</v>
      </c>
      <c r="C46" s="10" t="s">
        <v>89</v>
      </c>
      <c r="D46" s="11">
        <v>42604.75</v>
      </c>
      <c r="E46" s="11">
        <v>42604</v>
      </c>
      <c r="F46" s="11">
        <v>42604</v>
      </c>
      <c r="G46" s="11">
        <v>42604.25</v>
      </c>
      <c r="H46" s="12">
        <f>(IF(G46&gt;D46,(G46-D46)*24,24+(G46-D46)*24))-4</f>
        <v>8</v>
      </c>
      <c r="I46" s="1">
        <f>(IF(G46&gt;D46,(G46-D46)*24,24+(G46-D46)*24))</f>
        <v>12</v>
      </c>
      <c r="J46" s="1"/>
      <c r="K46" s="1">
        <f>I46</f>
        <v>12</v>
      </c>
    </row>
    <row r="47" ht="15">
      <c r="A47" s="8">
        <v>43</v>
      </c>
      <c r="B47" s="9" t="s">
        <v>90</v>
      </c>
      <c r="C47" s="10" t="s">
        <v>91</v>
      </c>
      <c r="D47" s="11">
        <v>40909.208333333328</v>
      </c>
      <c r="E47" s="11">
        <v>42268</v>
      </c>
      <c r="F47" s="11">
        <v>42268</v>
      </c>
      <c r="G47" s="11">
        <v>40909.5625</v>
      </c>
      <c r="H47" s="12">
        <f>(IF(G47&gt;D47,(G47-D47)*24,24+(G47-D47)*24))-4</f>
        <v>4.5000000001164153</v>
      </c>
      <c r="I47" s="1">
        <f>(IF(G47&gt;D47,(G47-D47)*24,24+(G47-D47)*24))</f>
        <v>8.5000000001164153</v>
      </c>
      <c r="J47" s="1"/>
      <c r="K47" s="1">
        <f>I47-0.5</f>
        <v>8.0000000001164153</v>
      </c>
    </row>
    <row r="48" ht="15">
      <c r="A48" s="8">
        <v>44</v>
      </c>
      <c r="B48" s="9" t="s">
        <v>92</v>
      </c>
      <c r="C48" s="10" t="s">
        <v>93</v>
      </c>
      <c r="D48" s="11">
        <v>40909.229166666664</v>
      </c>
      <c r="E48" s="11">
        <v>42268</v>
      </c>
      <c r="F48" s="11">
        <v>42268</v>
      </c>
      <c r="G48" s="11">
        <v>40909.583333333328</v>
      </c>
      <c r="H48" s="12">
        <f>(IF(G48&gt;D48,(G48-D48)*24,24+(G48-D48)*24))-4</f>
        <v>4.4999999999417923</v>
      </c>
      <c r="I48" s="1">
        <f>(IF(G48&gt;D48,(G48-D48)*24,24+(G48-D48)*24))</f>
        <v>8.4999999999417923</v>
      </c>
      <c r="J48" s="1"/>
      <c r="K48" s="1">
        <f>I48-0.5</f>
        <v>7.9999999999417923</v>
      </c>
    </row>
    <row r="49" ht="15">
      <c r="A49" s="8">
        <v>45</v>
      </c>
      <c r="B49" s="9" t="s">
        <v>94</v>
      </c>
      <c r="C49" s="10" t="s">
        <v>95</v>
      </c>
      <c r="D49" s="11">
        <v>40909.25</v>
      </c>
      <c r="E49" s="11">
        <v>42268</v>
      </c>
      <c r="F49" s="11">
        <v>42268</v>
      </c>
      <c r="G49" s="11">
        <v>40909.604166666664</v>
      </c>
      <c r="H49" s="12">
        <f>(IF(G49&gt;D49,(G49-D49)*24,24+(G49-D49)*24))-4</f>
        <v>4.4999999999417923</v>
      </c>
      <c r="I49" s="1">
        <f>(IF(G49&gt;D49,(G49-D49)*24,24+(G49-D49)*24))</f>
        <v>8.4999999999417923</v>
      </c>
      <c r="J49" s="1"/>
      <c r="K49" s="1">
        <f>I49-0.5</f>
        <v>7.9999999999417923</v>
      </c>
    </row>
    <row r="50" ht="15">
      <c r="A50" s="8">
        <v>46</v>
      </c>
      <c r="B50" s="9" t="s">
        <v>96</v>
      </c>
      <c r="C50" s="10" t="s">
        <v>97</v>
      </c>
      <c r="D50" s="11">
        <v>40909.270833333328</v>
      </c>
      <c r="E50" s="11">
        <v>42268</v>
      </c>
      <c r="F50" s="11">
        <v>42268</v>
      </c>
      <c r="G50" s="11">
        <v>40909.625</v>
      </c>
      <c r="H50" s="12">
        <f>(IF(G50&gt;D50,(G50-D50)*24,24+(G50-D50)*24))-4</f>
        <v>4.5000000001164153</v>
      </c>
      <c r="I50" s="1">
        <f>(IF(G50&gt;D50,(G50-D50)*24,24+(G50-D50)*24))</f>
        <v>8.5000000001164153</v>
      </c>
      <c r="J50" s="1"/>
      <c r="K50" s="1">
        <f>I50-0.5</f>
        <v>8.0000000001164153</v>
      </c>
    </row>
    <row r="51" ht="15">
      <c r="A51" s="8">
        <v>47</v>
      </c>
      <c r="B51" s="9" t="s">
        <v>98</v>
      </c>
      <c r="C51" s="10" t="s">
        <v>99</v>
      </c>
      <c r="D51" s="11">
        <v>40909.291666666664</v>
      </c>
      <c r="E51" s="11">
        <v>42268</v>
      </c>
      <c r="F51" s="11">
        <v>42268</v>
      </c>
      <c r="G51" s="11">
        <v>40909.645833333328</v>
      </c>
      <c r="H51" s="12">
        <f>(IF(G51&gt;D51,(G51-D51)*24,24+(G51-D51)*24))-4</f>
        <v>4.4999999999417923</v>
      </c>
      <c r="I51" s="1">
        <f>(IF(G51&gt;D51,(G51-D51)*24,24+(G51-D51)*24))</f>
        <v>8.4999999999417923</v>
      </c>
      <c r="J51" s="1"/>
      <c r="K51" s="1">
        <f>I51-0.5</f>
        <v>7.9999999999417923</v>
      </c>
    </row>
    <row r="52" ht="15">
      <c r="A52" s="8">
        <v>48</v>
      </c>
      <c r="B52" s="9" t="s">
        <v>100</v>
      </c>
      <c r="C52" s="10" t="s">
        <v>101</v>
      </c>
      <c r="D52" s="11">
        <v>40909.3125</v>
      </c>
      <c r="E52" s="11">
        <v>42268</v>
      </c>
      <c r="F52" s="11">
        <v>42268</v>
      </c>
      <c r="G52" s="11">
        <v>40909.666666666664</v>
      </c>
      <c r="H52" s="12">
        <f>(IF(G52&gt;D52,(G52-D52)*24,24+(G52-D52)*24))-4</f>
        <v>4.4999999999417923</v>
      </c>
      <c r="I52" s="1">
        <f>(IF(G52&gt;D52,(G52-D52)*24,24+(G52-D52)*24))</f>
        <v>8.4999999999417923</v>
      </c>
      <c r="J52" s="1"/>
      <c r="K52" s="1">
        <f>I52-0.5</f>
        <v>7.9999999999417923</v>
      </c>
    </row>
    <row r="53" ht="15">
      <c r="A53" s="8">
        <v>49</v>
      </c>
      <c r="B53" s="9" t="s">
        <v>102</v>
      </c>
      <c r="C53" s="10" t="s">
        <v>103</v>
      </c>
      <c r="D53" s="11">
        <v>40909.333333333328</v>
      </c>
      <c r="E53" s="11">
        <v>42268</v>
      </c>
      <c r="F53" s="11">
        <v>42268</v>
      </c>
      <c r="G53" s="11">
        <v>40909.6875</v>
      </c>
      <c r="H53" s="12">
        <f>(IF(G53&gt;D53,(G53-D53)*24,24+(G53-D53)*24))-4</f>
        <v>4.5000000001164153</v>
      </c>
      <c r="I53" s="1">
        <f>(IF(G53&gt;D53,(G53-D53)*24,24+(G53-D53)*24))</f>
        <v>8.5000000001164153</v>
      </c>
      <c r="J53" s="1"/>
      <c r="K53" s="1">
        <f>I53-0.5</f>
        <v>8.0000000001164153</v>
      </c>
    </row>
    <row r="54" ht="15">
      <c r="A54" s="8">
        <v>50</v>
      </c>
      <c r="B54" s="9" t="s">
        <v>104</v>
      </c>
      <c r="C54" s="10" t="s">
        <v>105</v>
      </c>
      <c r="D54" s="11">
        <v>40909.375</v>
      </c>
      <c r="E54" s="11">
        <v>42268</v>
      </c>
      <c r="F54" s="11">
        <v>42268</v>
      </c>
      <c r="G54" s="11">
        <v>40909.729166666664</v>
      </c>
      <c r="H54" s="12">
        <f>(IF(G54&gt;D54,(G54-D54)*24,24+(G54-D54)*24))-4</f>
        <v>4.4999999999417923</v>
      </c>
      <c r="I54" s="1">
        <f>(IF(G54&gt;D54,(G54-D54)*24,24+(G54-D54)*24))</f>
        <v>8.4999999999417923</v>
      </c>
      <c r="J54" s="1"/>
      <c r="K54" s="1">
        <f>I54-0.5</f>
        <v>7.9999999999417923</v>
      </c>
    </row>
    <row r="55" ht="15">
      <c r="A55" s="8">
        <v>51</v>
      </c>
      <c r="B55" s="9" t="s">
        <v>106</v>
      </c>
      <c r="C55" s="10" t="s">
        <v>107</v>
      </c>
      <c r="D55" s="11">
        <v>40909.354166666664</v>
      </c>
      <c r="E55" s="11">
        <v>42335</v>
      </c>
      <c r="F55" s="11">
        <v>42335</v>
      </c>
      <c r="G55" s="11">
        <v>40909.520833333328</v>
      </c>
      <c r="H55" s="12">
        <f>(IF(G55&gt;D55,(G55-D55)*24,24+(G55-D55)*24))-4</f>
        <v>-5.8207660913467407e-11</v>
      </c>
      <c r="I55" s="1">
        <f>(IF(G55&gt;D55,(G55-D55)*24,24+(G55-D55)*24))</f>
        <v>3.9999999999417923</v>
      </c>
      <c r="J55" s="1"/>
      <c r="K55" s="1">
        <f>I55</f>
        <v>3.9999999999417923</v>
      </c>
    </row>
    <row r="56" ht="15">
      <c r="A56" s="8">
        <v>52</v>
      </c>
      <c r="B56" s="9" t="s">
        <v>108</v>
      </c>
      <c r="C56" s="10" t="s">
        <v>109</v>
      </c>
      <c r="D56" s="11">
        <v>42917.5625</v>
      </c>
      <c r="E56" s="11">
        <v>42917</v>
      </c>
      <c r="F56" s="11">
        <v>42917</v>
      </c>
      <c r="G56" s="11">
        <v>42917.729166666664</v>
      </c>
      <c r="H56" s="12">
        <f>(IF(G56&gt;D56,(G56-D56)*24,24+(G56-D56)*24))-4</f>
        <v>-5.8207660913467407e-11</v>
      </c>
      <c r="I56" s="1">
        <f>(IF(G56&gt;D56,(G56-D56)*24,24+(G56-D56)*24))</f>
        <v>3.9999999999417923</v>
      </c>
      <c r="J56" s="1"/>
      <c r="K56" s="1">
        <f>I56</f>
        <v>3.9999999999417923</v>
      </c>
    </row>
    <row r="57" ht="15">
      <c r="A57" s="8">
        <v>53</v>
      </c>
      <c r="B57" s="9" t="s">
        <v>110</v>
      </c>
      <c r="C57" s="10" t="s">
        <v>111</v>
      </c>
      <c r="D57" s="11">
        <v>43238.333333333328</v>
      </c>
      <c r="E57" s="11">
        <v>43238</v>
      </c>
      <c r="F57" s="11">
        <v>43238</v>
      </c>
      <c r="G57" s="11">
        <v>43238.5</v>
      </c>
      <c r="H57" s="12">
        <f>(IF(G57&gt;D57,(G57-D57)*24,24+(G57-D57)*24))-4</f>
        <v>1.1641532182693481e-10</v>
      </c>
      <c r="I57" s="1">
        <f>(IF(G57&gt;D57,(G57-D57)*24,24+(G57-D57)*24))</f>
        <v>4.0000000001164153</v>
      </c>
      <c r="J57" s="1"/>
      <c r="K57" s="1">
        <f>I57</f>
        <v>4.0000000001164153</v>
      </c>
    </row>
    <row r="58" ht="15">
      <c r="A58" s="8">
        <v>54</v>
      </c>
      <c r="B58" s="9" t="s">
        <v>112</v>
      </c>
      <c r="C58" s="10" t="s">
        <v>113</v>
      </c>
      <c r="D58" s="11">
        <v>43238.541666666664</v>
      </c>
      <c r="E58" s="11">
        <v>43238</v>
      </c>
      <c r="F58" s="11">
        <v>43238</v>
      </c>
      <c r="G58" s="11">
        <v>43238.708333333328</v>
      </c>
      <c r="H58" s="12">
        <f>(IF(G58&gt;D58,(G58-D58)*24,24+(G58-D58)*24))-4</f>
        <v>-5.8207660913467407e-11</v>
      </c>
      <c r="I58" s="1">
        <f>(IF(G58&gt;D58,(G58-D58)*24,24+(G58-D58)*24))</f>
        <v>3.9999999999417923</v>
      </c>
      <c r="J58" s="1"/>
      <c r="K58" s="1">
        <f>I58</f>
        <v>3.9999999999417923</v>
      </c>
    </row>
    <row r="59" ht="15">
      <c r="A59" s="8">
        <v>55</v>
      </c>
      <c r="B59" s="9" t="s">
        <v>114</v>
      </c>
      <c r="C59" s="10" t="s">
        <v>115</v>
      </c>
      <c r="D59" s="11">
        <v>43238.333333333328</v>
      </c>
      <c r="E59" s="11">
        <v>43238</v>
      </c>
      <c r="F59" s="11">
        <v>43238</v>
      </c>
      <c r="G59" s="11">
        <v>43238.520833333328</v>
      </c>
      <c r="H59" s="12">
        <f>(IF(G59&gt;D59,(G59-D59)*24,24+(G59-D59)*24))-4</f>
        <v>0.5</v>
      </c>
      <c r="I59" s="1">
        <f>(IF(G59&gt;D59,(G59-D59)*24,24+(G59-D59)*24))</f>
        <v>4.5</v>
      </c>
      <c r="J59" s="1"/>
      <c r="K59" s="1">
        <f>I59-0.5</f>
        <v>4</v>
      </c>
    </row>
    <row r="60" ht="15">
      <c r="A60" s="8">
        <v>56</v>
      </c>
      <c r="B60" s="9" t="s">
        <v>116</v>
      </c>
      <c r="C60" s="10" t="s">
        <v>117</v>
      </c>
      <c r="D60" s="11">
        <v>43238.5625</v>
      </c>
      <c r="E60" s="11">
        <v>43238</v>
      </c>
      <c r="F60" s="11">
        <v>43238</v>
      </c>
      <c r="G60" s="11">
        <v>43238.75</v>
      </c>
      <c r="H60" s="12">
        <f>(IF(G60&gt;D60,(G60-D60)*24,24+(G60-D60)*24))-4</f>
        <v>0.5</v>
      </c>
      <c r="I60" s="1">
        <f>(IF(G60&gt;D60,(G60-D60)*24,24+(G60-D60)*24))</f>
        <v>4.5</v>
      </c>
      <c r="J60" s="1"/>
      <c r="K60" s="1">
        <f>I60-0.5</f>
        <v>4</v>
      </c>
    </row>
    <row r="61" ht="42.75">
      <c r="A61" s="8">
        <v>57</v>
      </c>
      <c r="B61" s="9" t="s">
        <v>118</v>
      </c>
      <c r="C61" s="10" t="s">
        <v>119</v>
      </c>
      <c r="D61" s="11"/>
      <c r="E61" s="11"/>
      <c r="F61" s="11"/>
      <c r="G61" s="11"/>
      <c r="H61" s="12">
        <f>(IF(G61&gt;D61,(G61-D61)*24,24+(G61-D61)*24))-4</f>
        <v>20</v>
      </c>
      <c r="I61" s="1">
        <f>(IF(G61&gt;D61,(G61-D61)*24,24+(G61-D61)*24))</f>
        <v>24</v>
      </c>
      <c r="J61" s="1"/>
      <c r="K61" s="1"/>
    </row>
    <row r="62" ht="28.5">
      <c r="A62" s="8">
        <v>58</v>
      </c>
      <c r="B62" s="9" t="s">
        <v>120</v>
      </c>
      <c r="C62" s="10" t="s">
        <v>121</v>
      </c>
      <c r="D62" s="11"/>
      <c r="E62" s="11"/>
      <c r="F62" s="11"/>
      <c r="G62" s="11"/>
      <c r="H62" s="12">
        <f>(IF(G62&gt;D62,(G62-D62)*24,24+(G62-D62)*24))-4</f>
        <v>20</v>
      </c>
      <c r="I62" s="1">
        <f>(IF(G62&gt;D62,(G62-D62)*24,24+(G62-D62)*24))</f>
        <v>24</v>
      </c>
      <c r="J62" s="1"/>
      <c r="K62" s="1"/>
    </row>
    <row r="63" ht="15">
      <c r="A63" s="8">
        <v>59</v>
      </c>
      <c r="B63" s="9" t="s">
        <v>122</v>
      </c>
      <c r="C63" s="10" t="s">
        <v>123</v>
      </c>
      <c r="D63" s="11">
        <v>40909.3125</v>
      </c>
      <c r="E63" s="11"/>
      <c r="F63" s="11"/>
      <c r="G63" s="11">
        <v>40909.625</v>
      </c>
      <c r="H63" s="12">
        <f>(IF(G63&gt;D63,(G63-D63)*24,24+(G63-D63)*24))-4</f>
        <v>3.5</v>
      </c>
      <c r="I63" s="1">
        <f>(IF(G63&gt;D63,(G63-D63)*24,24+(G63-D63)*24))</f>
        <v>7.5</v>
      </c>
      <c r="J63" s="1"/>
      <c r="K63" s="1">
        <f>I63-0.5</f>
        <v>7</v>
      </c>
    </row>
    <row r="64" ht="15">
      <c r="A64" s="8">
        <v>60</v>
      </c>
      <c r="B64" s="9" t="s">
        <v>124</v>
      </c>
      <c r="C64" s="10" t="s">
        <v>101</v>
      </c>
      <c r="D64" s="11">
        <v>40909.3125</v>
      </c>
      <c r="E64" s="11"/>
      <c r="F64" s="11"/>
      <c r="G64" s="11">
        <v>40909.666666666664</v>
      </c>
      <c r="H64" s="12">
        <f>(IF(G64&gt;D64,(G64-D64)*24,24+(G64-D64)*24))-4</f>
        <v>4.4999999999417923</v>
      </c>
      <c r="I64" s="1">
        <f>(IF(G64&gt;D64,(G64-D64)*24,24+(G64-D64)*24))</f>
        <v>8.4999999999417923</v>
      </c>
      <c r="J64" s="1"/>
      <c r="K64" s="1">
        <f>I64-0.5</f>
        <v>7.9999999999417923</v>
      </c>
    </row>
    <row r="65" ht="14.25">
      <c r="A65" s="8">
        <v>61</v>
      </c>
      <c r="B65" s="9" t="s">
        <v>125</v>
      </c>
      <c r="C65" s="10" t="s">
        <v>103</v>
      </c>
      <c r="D65" s="11">
        <v>40909.333333333328</v>
      </c>
      <c r="E65" s="11"/>
      <c r="F65" s="11"/>
      <c r="G65" s="11">
        <v>40909.6875</v>
      </c>
      <c r="H65" s="12">
        <f>(IF(G65&gt;D65,(G65-D65)*24,24+(G65-D65)*24))-4</f>
        <v>4.5000000001164153</v>
      </c>
      <c r="I65" s="1">
        <f>(IF(G65&gt;D65,(G65-D65)*24,24+(G65-D65)*24))</f>
        <v>8.5000000001164153</v>
      </c>
      <c r="J65" s="1"/>
      <c r="K65" s="1">
        <f>I65-0.5</f>
        <v>8.0000000001164153</v>
      </c>
    </row>
    <row r="66" ht="14.25">
      <c r="A66" s="8">
        <v>62</v>
      </c>
      <c r="B66" s="9" t="s">
        <v>126</v>
      </c>
      <c r="C66" s="10" t="s">
        <v>127</v>
      </c>
      <c r="D66" s="11">
        <v>40909.354166666664</v>
      </c>
      <c r="E66" s="11"/>
      <c r="F66" s="11"/>
      <c r="G66" s="11">
        <v>40909.708333333328</v>
      </c>
      <c r="H66" s="12">
        <f>(IF(G66&gt;D66,(G66-D66)*24,24+(G66-D66)*24))-4</f>
        <v>4.4999999999417923</v>
      </c>
      <c r="I66" s="1">
        <f>(IF(G66&gt;D66,(G66-D66)*24,24+(G66-D66)*24))</f>
        <v>8.4999999999417923</v>
      </c>
      <c r="J66" s="1"/>
      <c r="K66" s="1">
        <f>I66-0.5</f>
        <v>7.9999999999417923</v>
      </c>
    </row>
    <row r="67" ht="14.25">
      <c r="A67" s="8">
        <v>63</v>
      </c>
      <c r="B67" s="9" t="s">
        <v>128</v>
      </c>
      <c r="C67" s="10" t="s">
        <v>105</v>
      </c>
      <c r="D67" s="11">
        <v>40909.375</v>
      </c>
      <c r="E67" s="11"/>
      <c r="F67" s="11"/>
      <c r="G67" s="11">
        <v>40909.729166666664</v>
      </c>
      <c r="H67" s="12">
        <f>(IF(G67&gt;D67,(G67-D67)*24,24+(G67-D67)*24))-4</f>
        <v>4.4999999999417923</v>
      </c>
      <c r="I67" s="1">
        <f>(IF(G67&gt;D67,(G67-D67)*24,24+(G67-D67)*24))</f>
        <v>8.4999999999417923</v>
      </c>
      <c r="J67" s="1"/>
      <c r="K67" s="1">
        <f>I67-0.5</f>
        <v>7.9999999999417923</v>
      </c>
    </row>
    <row r="68" ht="14.25">
      <c r="A68" s="8">
        <v>64</v>
      </c>
      <c r="B68" s="9" t="s">
        <v>129</v>
      </c>
      <c r="C68" s="10" t="s">
        <v>130</v>
      </c>
      <c r="D68" s="11">
        <v>40909.395833333328</v>
      </c>
      <c r="E68" s="11"/>
      <c r="F68" s="11"/>
      <c r="G68" s="11">
        <v>40909.75</v>
      </c>
      <c r="H68" s="12">
        <f>(IF(G68&gt;D68,(G68-D68)*24,24+(G68-D68)*24))-4</f>
        <v>4.5000000001164153</v>
      </c>
      <c r="I68" s="1">
        <f>(IF(G68&gt;D68,(G68-D68)*24,24+(G68-D68)*24))</f>
        <v>8.5000000001164153</v>
      </c>
      <c r="J68" s="1"/>
      <c r="K68" s="1">
        <f>I68-0.5</f>
        <v>8.0000000001164153</v>
      </c>
    </row>
    <row r="69" ht="14.25">
      <c r="A69" s="8">
        <v>65</v>
      </c>
      <c r="B69" s="9" t="s">
        <v>131</v>
      </c>
      <c r="C69" s="10" t="s">
        <v>132</v>
      </c>
      <c r="D69" s="11">
        <v>40909.416666666664</v>
      </c>
      <c r="E69" s="11"/>
      <c r="F69" s="11"/>
      <c r="G69" s="11">
        <v>40909.770833333328</v>
      </c>
      <c r="H69" s="12">
        <f>(IF(G69&gt;D69,(G69-D69)*24,24+(G69-D69)*24))-4</f>
        <v>4.4999999999417923</v>
      </c>
      <c r="I69" s="1">
        <f>(IF(G69&gt;D69,(G69-D69)*24,24+(G69-D69)*24))</f>
        <v>8.4999999999417923</v>
      </c>
      <c r="J69" s="1"/>
      <c r="K69" s="1">
        <f>I69-0.5</f>
        <v>7.9999999999417923</v>
      </c>
    </row>
    <row r="70" ht="14.25">
      <c r="A70" s="8">
        <v>66</v>
      </c>
      <c r="B70" s="9" t="s">
        <v>133</v>
      </c>
      <c r="C70" s="10" t="s">
        <v>134</v>
      </c>
      <c r="D70" s="11">
        <v>40909.4375</v>
      </c>
      <c r="E70" s="11"/>
      <c r="F70" s="11"/>
      <c r="G70" s="11">
        <v>40909.791666666664</v>
      </c>
      <c r="H70" s="12">
        <f>(IF(G70&gt;D70,(G70-D70)*24,24+(G70-D70)*24))-4</f>
        <v>4.4999999999417923</v>
      </c>
      <c r="I70" s="1">
        <f>(IF(G70&gt;D70,(G70-D70)*24,24+(G70-D70)*24))</f>
        <v>8.4999999999417923</v>
      </c>
      <c r="J70" s="1"/>
      <c r="K70" s="1">
        <f>I70-0.5</f>
        <v>7.9999999999417923</v>
      </c>
    </row>
    <row r="71" ht="14.25">
      <c r="A71" s="8">
        <v>67</v>
      </c>
      <c r="B71" s="9" t="s">
        <v>135</v>
      </c>
      <c r="C71" s="10" t="s">
        <v>136</v>
      </c>
      <c r="D71" s="11">
        <v>40909.458333333328</v>
      </c>
      <c r="E71" s="11"/>
      <c r="F71" s="11"/>
      <c r="G71" s="11">
        <v>40909.8125</v>
      </c>
      <c r="H71" s="12">
        <f>(IF(G71&gt;D71,(G71-D71)*24,24+(G71-D71)*24))-4</f>
        <v>4.5000000001164153</v>
      </c>
      <c r="I71" s="1">
        <f>(IF(G71&gt;D71,(G71-D71)*24,24+(G71-D71)*24))</f>
        <v>8.5000000001164153</v>
      </c>
      <c r="J71" s="1"/>
      <c r="K71" s="1">
        <f>I71-0.5</f>
        <v>8.0000000001164153</v>
      </c>
    </row>
    <row r="72" ht="14.25">
      <c r="A72" s="8">
        <v>68</v>
      </c>
      <c r="B72" s="9" t="s">
        <v>137</v>
      </c>
      <c r="C72" s="10" t="s">
        <v>138</v>
      </c>
      <c r="D72" s="11">
        <v>40909.479166666664</v>
      </c>
      <c r="E72" s="11"/>
      <c r="F72" s="11"/>
      <c r="G72" s="11">
        <v>40909.833333333328</v>
      </c>
      <c r="H72" s="12">
        <f>(IF(G72&gt;D72,(G72-D72)*24,24+(G72-D72)*24))-4</f>
        <v>4.4999999999417923</v>
      </c>
      <c r="I72" s="1">
        <f>(IF(G72&gt;D72,(G72-D72)*24,24+(G72-D72)*24))</f>
        <v>8.4999999999417923</v>
      </c>
      <c r="J72" s="1"/>
      <c r="K72" s="1">
        <f>I72-0.5</f>
        <v>7.9999999999417923</v>
      </c>
    </row>
    <row r="73" ht="14.25">
      <c r="A73" s="8">
        <v>69</v>
      </c>
      <c r="B73" s="9" t="s">
        <v>139</v>
      </c>
      <c r="C73" s="10" t="s">
        <v>140</v>
      </c>
      <c r="D73" s="11">
        <v>40909.333333333328</v>
      </c>
      <c r="E73" s="11"/>
      <c r="F73" s="11"/>
      <c r="G73" s="11">
        <v>40909.645833333328</v>
      </c>
      <c r="H73" s="12">
        <f>(IF(G73&gt;D73,(G73-D73)*24,24+(G73-D73)*24))-4</f>
        <v>3.5</v>
      </c>
      <c r="I73" s="1">
        <f>(IF(G73&gt;D73,(G73-D73)*24,24+(G73-D73)*24))</f>
        <v>7.5</v>
      </c>
      <c r="J73" s="1"/>
      <c r="K73" s="1">
        <f>I73-0.5</f>
        <v>7</v>
      </c>
    </row>
    <row r="74" ht="14.25">
      <c r="A74" s="8">
        <v>70</v>
      </c>
      <c r="B74" s="9" t="s">
        <v>141</v>
      </c>
      <c r="C74" s="10" t="s">
        <v>142</v>
      </c>
      <c r="D74" s="11">
        <v>40909.354166666664</v>
      </c>
      <c r="E74" s="11"/>
      <c r="F74" s="11"/>
      <c r="G74" s="11">
        <v>40909.666666666664</v>
      </c>
      <c r="H74" s="12">
        <f>(IF(G74&gt;D74,(G74-D74)*24,24+(G74-D74)*24))-4</f>
        <v>3.5</v>
      </c>
      <c r="I74" s="1">
        <f>(IF(G74&gt;D74,(G74-D74)*24,24+(G74-D74)*24))</f>
        <v>7.5</v>
      </c>
      <c r="J74" s="1"/>
      <c r="K74" s="1">
        <f>I74-0.5</f>
        <v>7</v>
      </c>
    </row>
    <row r="75" ht="14.25">
      <c r="A75" s="8">
        <v>71</v>
      </c>
      <c r="B75" s="9" t="s">
        <v>143</v>
      </c>
      <c r="C75" s="10" t="s">
        <v>144</v>
      </c>
      <c r="D75" s="11">
        <v>40909.375</v>
      </c>
      <c r="E75" s="11"/>
      <c r="F75" s="11"/>
      <c r="G75" s="11">
        <v>40909.6875</v>
      </c>
      <c r="H75" s="12">
        <f>(IF(G75&gt;D75,(G75-D75)*24,24+(G75-D75)*24))-4</f>
        <v>3.5</v>
      </c>
      <c r="I75" s="1">
        <f>(IF(G75&gt;D75,(G75-D75)*24,24+(G75-D75)*24))</f>
        <v>7.5</v>
      </c>
      <c r="J75" s="1"/>
      <c r="K75" s="1">
        <f>I75-0.5</f>
        <v>7</v>
      </c>
    </row>
    <row r="76" ht="14.25">
      <c r="A76" s="8">
        <v>72</v>
      </c>
      <c r="B76" s="9" t="s">
        <v>145</v>
      </c>
      <c r="C76" s="10" t="s">
        <v>146</v>
      </c>
      <c r="D76" s="11">
        <v>40909.395833333328</v>
      </c>
      <c r="E76" s="11"/>
      <c r="F76" s="11"/>
      <c r="G76" s="11">
        <v>40909.708333333328</v>
      </c>
      <c r="H76" s="12">
        <f>(IF(G76&gt;D76,(G76-D76)*24,24+(G76-D76)*24))-4</f>
        <v>3.5</v>
      </c>
      <c r="I76" s="1">
        <f>(IF(G76&gt;D76,(G76-D76)*24,24+(G76-D76)*24))</f>
        <v>7.5</v>
      </c>
      <c r="J76" s="1"/>
      <c r="K76" s="1">
        <f>I76-0.5</f>
        <v>7</v>
      </c>
    </row>
    <row r="77" ht="14.25">
      <c r="A77" s="8">
        <v>73</v>
      </c>
      <c r="B77" s="9" t="s">
        <v>147</v>
      </c>
      <c r="C77" s="10" t="s">
        <v>148</v>
      </c>
      <c r="D77" s="11">
        <v>40909.416666666664</v>
      </c>
      <c r="E77" s="11"/>
      <c r="F77" s="11"/>
      <c r="G77" s="11">
        <v>40909.729166666664</v>
      </c>
      <c r="H77" s="12">
        <f>(IF(G77&gt;D77,(G77-D77)*24,24+(G77-D77)*24))-4</f>
        <v>3.5</v>
      </c>
      <c r="I77" s="1">
        <f>(IF(G77&gt;D77,(G77-D77)*24,24+(G77-D77)*24))</f>
        <v>7.5</v>
      </c>
      <c r="J77" s="1"/>
      <c r="K77" s="1">
        <f>I77-0.5</f>
        <v>7</v>
      </c>
    </row>
    <row r="78" ht="14.25">
      <c r="A78" s="8">
        <v>74</v>
      </c>
      <c r="B78" s="9" t="s">
        <v>149</v>
      </c>
      <c r="C78" s="10" t="s">
        <v>150</v>
      </c>
      <c r="D78" s="11">
        <v>40909.4375</v>
      </c>
      <c r="E78" s="11"/>
      <c r="F78" s="11"/>
      <c r="G78" s="11">
        <v>40909.75</v>
      </c>
      <c r="H78" s="12">
        <f>(IF(G78&gt;D78,(G78-D78)*24,24+(G78-D78)*24))-4</f>
        <v>3.5</v>
      </c>
      <c r="I78" s="1">
        <f>(IF(G78&gt;D78,(G78-D78)*24,24+(G78-D78)*24))</f>
        <v>7.5</v>
      </c>
      <c r="J78" s="1"/>
      <c r="K78" s="1">
        <f>I78-0.5</f>
        <v>7</v>
      </c>
    </row>
    <row r="79" ht="14.25">
      <c r="A79" s="8">
        <v>75</v>
      </c>
      <c r="B79" s="9" t="s">
        <v>151</v>
      </c>
      <c r="C79" s="10" t="s">
        <v>152</v>
      </c>
      <c r="D79" s="11">
        <v>40909.458333333328</v>
      </c>
      <c r="E79" s="11"/>
      <c r="F79" s="11"/>
      <c r="G79" s="11">
        <v>40909.770833333328</v>
      </c>
      <c r="H79" s="12">
        <f>(IF(G79&gt;D79,(G79-D79)*24,24+(G79-D79)*24))-4</f>
        <v>3.5</v>
      </c>
      <c r="I79" s="1">
        <f>(IF(G79&gt;D79,(G79-D79)*24,24+(G79-D79)*24))</f>
        <v>7.5</v>
      </c>
      <c r="J79" s="1"/>
      <c r="K79" s="1">
        <f>I79-0.5</f>
        <v>7</v>
      </c>
    </row>
    <row r="80" ht="14.25">
      <c r="A80" s="8">
        <v>76</v>
      </c>
      <c r="B80" s="9" t="s">
        <v>153</v>
      </c>
      <c r="C80" s="10" t="s">
        <v>154</v>
      </c>
      <c r="D80" s="11">
        <v>40909.479166666664</v>
      </c>
      <c r="E80" s="11"/>
      <c r="F80" s="11"/>
      <c r="G80" s="11">
        <v>40909.791666666664</v>
      </c>
      <c r="H80" s="12">
        <f>(IF(G80&gt;D80,(G80-D80)*24,24+(G80-D80)*24))-4</f>
        <v>3.5</v>
      </c>
      <c r="I80" s="1">
        <f>(IF(G80&gt;D80,(G80-D80)*24,24+(G80-D80)*24))</f>
        <v>7.5</v>
      </c>
      <c r="J80" s="1"/>
      <c r="K80" s="1">
        <f>I80-0.5</f>
        <v>7</v>
      </c>
    </row>
    <row r="81" ht="14.25">
      <c r="A81" s="8">
        <v>77</v>
      </c>
      <c r="B81" s="9" t="s">
        <v>155</v>
      </c>
      <c r="C81" s="10" t="s">
        <v>156</v>
      </c>
      <c r="D81" s="11">
        <v>40909.3125</v>
      </c>
      <c r="E81" s="11"/>
      <c r="F81" s="11"/>
      <c r="G81" s="11">
        <v>40909.833333333328</v>
      </c>
      <c r="H81" s="12">
        <f>(IF(G81&gt;D81,(G81-D81)*24,24+(G81-D81)*24))-4</f>
        <v>8.4999999998835847</v>
      </c>
      <c r="I81" s="1">
        <f>(IF(G81&gt;D81,(G81-D81)*24,24+(G81-D81)*24))</f>
        <v>12.499999999883585</v>
      </c>
      <c r="J81" s="1"/>
      <c r="K81" s="1">
        <f>I81-0.5</f>
        <v>11.999999999883585</v>
      </c>
    </row>
    <row r="82" ht="14.25">
      <c r="A82" s="8">
        <v>78</v>
      </c>
      <c r="B82" s="9" t="s">
        <v>157</v>
      </c>
      <c r="C82" s="10" t="s">
        <v>158</v>
      </c>
      <c r="D82" s="11">
        <v>40909.5</v>
      </c>
      <c r="E82" s="11"/>
      <c r="F82" s="11"/>
      <c r="G82" s="11">
        <v>40909.020833333328</v>
      </c>
      <c r="H82" s="12">
        <f>(IF(G82&gt;D82,(G82-D82)*24,24+(G82-D82)*24))-4</f>
        <v>8.4999999998835847</v>
      </c>
      <c r="I82" s="1">
        <f>(IF(G82&gt;D82,(G82-D82)*24,24+(G82-D82)*24))</f>
        <v>12.499999999883585</v>
      </c>
      <c r="J82" s="1"/>
      <c r="K82" s="1">
        <f>I82-0.5</f>
        <v>11.999999999883585</v>
      </c>
    </row>
    <row r="83" ht="14.25">
      <c r="A83" s="8">
        <v>79</v>
      </c>
      <c r="B83" s="9" t="s">
        <v>159</v>
      </c>
      <c r="C83" s="10" t="s">
        <v>160</v>
      </c>
      <c r="D83" s="11">
        <v>40909.520833333328</v>
      </c>
      <c r="E83" s="11"/>
      <c r="F83" s="11"/>
      <c r="G83" s="11">
        <v>40909.041666666664</v>
      </c>
      <c r="H83" s="12">
        <f>(IF(G83&gt;D83,(G83-D83)*24,24+(G83-D83)*24))-4</f>
        <v>8.5000000000582077</v>
      </c>
      <c r="I83" s="1">
        <f>(IF(G83&gt;D83,(G83-D83)*24,24+(G83-D83)*24))</f>
        <v>12.500000000058208</v>
      </c>
      <c r="J83" s="1"/>
      <c r="K83" s="1">
        <f>I83-0.5</f>
        <v>12.000000000058208</v>
      </c>
    </row>
    <row r="84" ht="14.25">
      <c r="A84" s="8">
        <v>80</v>
      </c>
      <c r="B84" s="9" t="s">
        <v>161</v>
      </c>
      <c r="C84" s="10" t="s">
        <v>162</v>
      </c>
      <c r="D84" s="11">
        <v>40909.541666666664</v>
      </c>
      <c r="E84" s="11"/>
      <c r="F84" s="11"/>
      <c r="G84" s="11">
        <v>40909.0625</v>
      </c>
      <c r="H84" s="12">
        <f>(IF(G84&gt;D84,(G84-D84)*24,24+(G84-D84)*24))-4</f>
        <v>8.5000000000582077</v>
      </c>
      <c r="I84" s="1">
        <f>(IF(G84&gt;D84,(G84-D84)*24,24+(G84-D84)*24))</f>
        <v>12.500000000058208</v>
      </c>
      <c r="J84" s="1"/>
      <c r="K84" s="1">
        <f>I84-0.5</f>
        <v>12.000000000058208</v>
      </c>
    </row>
    <row r="85" ht="14.25">
      <c r="A85" s="8">
        <v>81</v>
      </c>
      <c r="B85" s="9" t="s">
        <v>163</v>
      </c>
      <c r="C85" s="10" t="s">
        <v>164</v>
      </c>
      <c r="D85" s="11">
        <v>40909.5625</v>
      </c>
      <c r="E85" s="11"/>
      <c r="F85" s="11"/>
      <c r="G85" s="11">
        <v>40909.083333333328</v>
      </c>
      <c r="H85" s="12">
        <f>(IF(G85&gt;D85,(G85-D85)*24,24+(G85-D85)*24))-4</f>
        <v>8.4999999998835847</v>
      </c>
      <c r="I85" s="1">
        <f>(IF(G85&gt;D85,(G85-D85)*24,24+(G85-D85)*24))</f>
        <v>12.499999999883585</v>
      </c>
      <c r="J85" s="1"/>
      <c r="K85" s="1">
        <f>I85-0.5</f>
        <v>11.999999999883585</v>
      </c>
    </row>
    <row r="86" ht="14.25">
      <c r="A86" s="8">
        <v>82</v>
      </c>
      <c r="B86" s="9" t="s">
        <v>165</v>
      </c>
      <c r="C86" s="10" t="s">
        <v>166</v>
      </c>
      <c r="D86" s="11">
        <v>42332.333333333328</v>
      </c>
      <c r="E86" s="11">
        <v>42332</v>
      </c>
      <c r="F86" s="11">
        <v>42332</v>
      </c>
      <c r="G86" s="11">
        <v>42332.958333333328</v>
      </c>
      <c r="H86" s="12">
        <f>(IF(G86&gt;D86,(G86-D86)*24,24+(G86-D86)*24))-4</f>
        <v>11</v>
      </c>
      <c r="I86" s="1">
        <f>(IF(G86&gt;D86,(G86-D86)*24,24+(G86-D86)*24))</f>
        <v>15</v>
      </c>
      <c r="J86" s="1"/>
      <c r="K86" s="1"/>
    </row>
    <row r="87" ht="14.25">
      <c r="A87" s="8">
        <v>83</v>
      </c>
      <c r="B87" s="9" t="s">
        <v>167</v>
      </c>
      <c r="C87" s="10" t="s">
        <v>168</v>
      </c>
      <c r="D87" s="11">
        <v>40909.333333333328</v>
      </c>
      <c r="E87" s="11"/>
      <c r="F87" s="11"/>
      <c r="G87" s="11">
        <v>40909.854166666664</v>
      </c>
      <c r="H87" s="12">
        <f>(IF(G87&gt;D87,(G87-D87)*24,24+(G87-D87)*24))-4</f>
        <v>8.5000000000582077</v>
      </c>
      <c r="I87" s="1">
        <f>(IF(G87&gt;D87,(G87-D87)*24,24+(G87-D87)*24))</f>
        <v>12.500000000058208</v>
      </c>
      <c r="J87" s="1"/>
      <c r="K87" s="1">
        <f>I87-0.5</f>
        <v>12.000000000058208</v>
      </c>
    </row>
    <row r="88" ht="14.25">
      <c r="A88" s="8">
        <v>84</v>
      </c>
      <c r="B88" s="9" t="s">
        <v>169</v>
      </c>
      <c r="C88" s="10" t="s">
        <v>170</v>
      </c>
      <c r="D88" s="11">
        <v>40909.354166666664</v>
      </c>
      <c r="E88" s="11"/>
      <c r="F88" s="11"/>
      <c r="G88" s="11">
        <v>40909.875</v>
      </c>
      <c r="H88" s="12">
        <f>(IF(G88&gt;D88,(G88-D88)*24,24+(G88-D88)*24))-4</f>
        <v>8.5000000000582077</v>
      </c>
      <c r="I88" s="1">
        <f>(IF(G88&gt;D88,(G88-D88)*24,24+(G88-D88)*24))</f>
        <v>12.500000000058208</v>
      </c>
      <c r="J88" s="1"/>
      <c r="K88" s="1">
        <f>I88-0.5</f>
        <v>12.000000000058208</v>
      </c>
    </row>
    <row r="89" ht="14.25">
      <c r="A89" s="8">
        <v>85</v>
      </c>
      <c r="B89" s="9" t="s">
        <v>171</v>
      </c>
      <c r="C89" s="10" t="s">
        <v>172</v>
      </c>
      <c r="D89" s="11">
        <v>40909.375</v>
      </c>
      <c r="E89" s="11"/>
      <c r="F89" s="11"/>
      <c r="G89" s="11">
        <v>40909.895833333328</v>
      </c>
      <c r="H89" s="12">
        <f>(IF(G89&gt;D89,(G89-D89)*24,24+(G89-D89)*24))-4</f>
        <v>8.4999999998835847</v>
      </c>
      <c r="I89" s="1">
        <f>(IF(G89&gt;D89,(G89-D89)*24,24+(G89-D89)*24))</f>
        <v>12.499999999883585</v>
      </c>
      <c r="J89" s="1"/>
      <c r="K89" s="1">
        <f>I89-0.5</f>
        <v>11.999999999883585</v>
      </c>
    </row>
    <row r="90" ht="14.25">
      <c r="A90" s="8">
        <v>86</v>
      </c>
      <c r="B90" s="9" t="s">
        <v>173</v>
      </c>
      <c r="C90" s="10" t="s">
        <v>174</v>
      </c>
      <c r="D90" s="11">
        <v>40909.395833333328</v>
      </c>
      <c r="E90" s="11"/>
      <c r="F90" s="11"/>
      <c r="G90" s="11">
        <v>40909.916666666664</v>
      </c>
      <c r="H90" s="12">
        <f>(IF(G90&gt;D90,(G90-D90)*24,24+(G90-D90)*24))-4</f>
        <v>8.5000000000582077</v>
      </c>
      <c r="I90" s="1">
        <f>(IF(G90&gt;D90,(G90-D90)*24,24+(G90-D90)*24))</f>
        <v>12.500000000058208</v>
      </c>
      <c r="J90" s="1"/>
      <c r="K90" s="1">
        <f>I90-0.5</f>
        <v>12.000000000058208</v>
      </c>
    </row>
    <row r="91" ht="14.25">
      <c r="A91" s="8">
        <v>87</v>
      </c>
      <c r="B91" s="9" t="s">
        <v>175</v>
      </c>
      <c r="C91" s="10" t="s">
        <v>176</v>
      </c>
      <c r="D91" s="11">
        <v>40909.416666666664</v>
      </c>
      <c r="E91" s="11"/>
      <c r="F91" s="11"/>
      <c r="G91" s="11">
        <v>40909.9375</v>
      </c>
      <c r="H91" s="12">
        <f>(IF(G91&gt;D91,(G91-D91)*24,24+(G91-D91)*24))-4</f>
        <v>8.5000000000582077</v>
      </c>
      <c r="I91" s="1">
        <f>(IF(G91&gt;D91,(G91-D91)*24,24+(G91-D91)*24))</f>
        <v>12.500000000058208</v>
      </c>
      <c r="J91" s="1"/>
      <c r="K91" s="1">
        <f>I91-0.5</f>
        <v>12.000000000058208</v>
      </c>
    </row>
    <row r="92" ht="14.25">
      <c r="A92" s="8">
        <v>88</v>
      </c>
      <c r="B92" s="9" t="s">
        <v>177</v>
      </c>
      <c r="C92" s="10" t="s">
        <v>178</v>
      </c>
      <c r="D92" s="11">
        <v>40909.4375</v>
      </c>
      <c r="E92" s="11">
        <v>42269</v>
      </c>
      <c r="F92" s="11">
        <v>42269</v>
      </c>
      <c r="G92" s="11">
        <v>40909.958333333328</v>
      </c>
      <c r="H92" s="12">
        <f>(IF(G92&gt;D92,(G92-D92)*24,24+(G92-D92)*24))-4</f>
        <v>8.4999999998835847</v>
      </c>
      <c r="I92" s="1">
        <f>(IF(G92&gt;D92,(G92-D92)*24,24+(G92-D92)*24))</f>
        <v>12.499999999883585</v>
      </c>
      <c r="J92" s="1"/>
      <c r="K92" s="1">
        <f>I92-0.5</f>
        <v>11.999999999883585</v>
      </c>
    </row>
    <row r="93" ht="14.25">
      <c r="A93" s="8">
        <v>89</v>
      </c>
      <c r="B93" s="9" t="s">
        <v>179</v>
      </c>
      <c r="C93" s="10" t="s">
        <v>180</v>
      </c>
      <c r="D93" s="11">
        <v>40909.458333333328</v>
      </c>
      <c r="E93" s="11"/>
      <c r="F93" s="11"/>
      <c r="G93" s="11">
        <v>40909.979166666664</v>
      </c>
      <c r="H93" s="12">
        <f>(IF(G93&gt;D93,(G93-D93)*24,24+(G93-D93)*24))-4</f>
        <v>8.5000000000582077</v>
      </c>
      <c r="I93" s="1">
        <f>(IF(G93&gt;D93,(G93-D93)*24,24+(G93-D93)*24))</f>
        <v>12.500000000058208</v>
      </c>
      <c r="J93" s="1"/>
      <c r="K93" s="1">
        <f>I93-0.5</f>
        <v>12.000000000058208</v>
      </c>
    </row>
    <row r="94" ht="14.25">
      <c r="A94" s="8">
        <v>90</v>
      </c>
      <c r="B94" s="9" t="s">
        <v>181</v>
      </c>
      <c r="C94" s="10" t="s">
        <v>182</v>
      </c>
      <c r="D94" s="11">
        <v>40909.479166666664</v>
      </c>
      <c r="E94" s="11"/>
      <c r="F94" s="11"/>
      <c r="G94" s="11">
        <v>40909</v>
      </c>
      <c r="H94" s="12">
        <f>(IF(G94&gt;D94,(G94-D94)*24,24+(G94-D94)*24))-4</f>
        <v>8.5000000000582077</v>
      </c>
      <c r="I94" s="1">
        <f>(IF(G94&gt;D94,(G94-D94)*24,24+(G94-D94)*24))</f>
        <v>12.500000000058208</v>
      </c>
      <c r="J94" s="1"/>
      <c r="K94" s="1">
        <f>I94-0.5</f>
        <v>12.000000000058208</v>
      </c>
    </row>
    <row r="95" ht="14.25">
      <c r="A95" s="8">
        <v>91</v>
      </c>
      <c r="B95" s="9" t="s">
        <v>183</v>
      </c>
      <c r="C95" s="10" t="s">
        <v>184</v>
      </c>
      <c r="D95" s="11"/>
      <c r="E95" s="11"/>
      <c r="F95" s="11"/>
      <c r="G95" s="11"/>
      <c r="H95" s="12">
        <f>(IF(G95&gt;D95,(G95-D95)*24,24+(G95-D95)*24))-4</f>
        <v>20</v>
      </c>
      <c r="I95" s="1">
        <f>(IF(G95&gt;D95,(G95-D95)*24,24+(G95-D95)*24))</f>
        <v>24</v>
      </c>
      <c r="J95" s="1"/>
      <c r="K95" s="1"/>
    </row>
    <row r="96" ht="14.25">
      <c r="A96" s="8">
        <v>92</v>
      </c>
      <c r="B96" s="9" t="s">
        <v>185</v>
      </c>
      <c r="C96" s="10" t="s">
        <v>186</v>
      </c>
      <c r="D96" s="11">
        <v>40909.3125</v>
      </c>
      <c r="E96" s="11"/>
      <c r="F96" s="11"/>
      <c r="G96" s="11">
        <v>40909.5</v>
      </c>
      <c r="H96" s="12">
        <f>(IF(G96&gt;D96,(G96-D96)*24,24+(G96-D96)*24))-4</f>
        <v>0.5</v>
      </c>
      <c r="I96" s="1">
        <f>(IF(G96&gt;D96,(G96-D96)*24,24+(G96-D96)*24))</f>
        <v>4.5</v>
      </c>
      <c r="J96" s="1"/>
      <c r="K96" s="1">
        <f>I96-0.5</f>
        <v>4</v>
      </c>
    </row>
    <row r="97" ht="14.25">
      <c r="A97" s="8">
        <v>93</v>
      </c>
      <c r="B97" s="9" t="s">
        <v>187</v>
      </c>
      <c r="C97" s="10" t="s">
        <v>188</v>
      </c>
      <c r="D97" s="11">
        <v>40909.5</v>
      </c>
      <c r="E97" s="11"/>
      <c r="F97" s="11"/>
      <c r="G97" s="11">
        <v>40909.6875</v>
      </c>
      <c r="H97" s="12">
        <f>(IF(G97&gt;D97,(G97-D97)*24,24+(G97-D97)*24))-4</f>
        <v>0.5</v>
      </c>
      <c r="I97" s="1">
        <f>(IF(G97&gt;D97,(G97-D97)*24,24+(G97-D97)*24))</f>
        <v>4.5</v>
      </c>
      <c r="J97" s="1"/>
      <c r="K97" s="1">
        <f>I97-0.5</f>
        <v>4</v>
      </c>
    </row>
    <row r="98" ht="14.25">
      <c r="A98" s="8">
        <v>94</v>
      </c>
      <c r="B98" s="9" t="s">
        <v>189</v>
      </c>
      <c r="C98" s="10" t="s">
        <v>190</v>
      </c>
      <c r="D98" s="11">
        <v>40909.520833333328</v>
      </c>
      <c r="E98" s="11"/>
      <c r="F98" s="11"/>
      <c r="G98" s="11">
        <v>40909.708333333328</v>
      </c>
      <c r="H98" s="12">
        <f>(IF(G98&gt;D98,(G98-D98)*24,24+(G98-D98)*24))-4</f>
        <v>0.5</v>
      </c>
      <c r="I98" s="1">
        <f>(IF(G98&gt;D98,(G98-D98)*24,24+(G98-D98)*24))</f>
        <v>4.5</v>
      </c>
      <c r="J98" s="1"/>
      <c r="K98" s="1">
        <f>I98-0.5</f>
        <v>4</v>
      </c>
    </row>
    <row r="99" ht="14.25">
      <c r="A99" s="8">
        <v>95</v>
      </c>
      <c r="B99" s="9" t="s">
        <v>191</v>
      </c>
      <c r="C99" s="10" t="s">
        <v>192</v>
      </c>
      <c r="D99" s="11">
        <v>40909.541666666664</v>
      </c>
      <c r="E99" s="11"/>
      <c r="F99" s="11"/>
      <c r="G99" s="11">
        <v>40909.729166666664</v>
      </c>
      <c r="H99" s="12">
        <f>(IF(G99&gt;D99,(G99-D99)*24,24+(G99-D99)*24))-4</f>
        <v>0.5</v>
      </c>
      <c r="I99" s="1">
        <f>(IF(G99&gt;D99,(G99-D99)*24,24+(G99-D99)*24))</f>
        <v>4.5</v>
      </c>
      <c r="J99" s="1"/>
      <c r="K99" s="1">
        <f>I99-0.5</f>
        <v>4</v>
      </c>
    </row>
    <row r="100" ht="14.25">
      <c r="A100" s="8">
        <v>96</v>
      </c>
      <c r="B100" s="9" t="s">
        <v>193</v>
      </c>
      <c r="C100" s="10" t="s">
        <v>194</v>
      </c>
      <c r="D100" s="11">
        <v>40909.5625</v>
      </c>
      <c r="E100" s="11"/>
      <c r="F100" s="11"/>
      <c r="G100" s="11">
        <v>40909.75</v>
      </c>
      <c r="H100" s="12">
        <f>(IF(G100&gt;D100,(G100-D100)*24,24+(G100-D100)*24))-4</f>
        <v>0.5</v>
      </c>
      <c r="I100" s="1">
        <f>(IF(G100&gt;D100,(G100-D100)*24,24+(G100-D100)*24))</f>
        <v>4.5</v>
      </c>
      <c r="J100" s="1"/>
      <c r="K100" s="1">
        <f>I100-0.5</f>
        <v>4</v>
      </c>
    </row>
    <row r="101" ht="14.25">
      <c r="A101" s="8">
        <v>97</v>
      </c>
      <c r="B101" s="9" t="s">
        <v>195</v>
      </c>
      <c r="C101" s="10" t="s">
        <v>196</v>
      </c>
      <c r="D101" s="11">
        <v>40909.583333333328</v>
      </c>
      <c r="E101" s="11"/>
      <c r="F101" s="11"/>
      <c r="G101" s="11">
        <v>40909.770833333328</v>
      </c>
      <c r="H101" s="12">
        <f>(IF(G101&gt;D101,(G101-D101)*24,24+(G101-D101)*24))-4</f>
        <v>0.5</v>
      </c>
      <c r="I101" s="1">
        <f>(IF(G101&gt;D101,(G101-D101)*24,24+(G101-D101)*24))</f>
        <v>4.5</v>
      </c>
      <c r="J101" s="1"/>
      <c r="K101" s="1">
        <f>I101-0.5</f>
        <v>4</v>
      </c>
    </row>
    <row r="102" ht="14.25">
      <c r="A102" s="8">
        <v>98</v>
      </c>
      <c r="B102" s="9" t="s">
        <v>197</v>
      </c>
      <c r="C102" s="10" t="s">
        <v>198</v>
      </c>
      <c r="D102" s="11">
        <v>40909.604166666664</v>
      </c>
      <c r="E102" s="11"/>
      <c r="F102" s="11"/>
      <c r="G102" s="11">
        <v>40909.791666666664</v>
      </c>
      <c r="H102" s="12">
        <f>(IF(G102&gt;D102,(G102-D102)*24,24+(G102-D102)*24))-4</f>
        <v>0.5</v>
      </c>
      <c r="I102" s="1">
        <f>(IF(G102&gt;D102,(G102-D102)*24,24+(G102-D102)*24))</f>
        <v>4.5</v>
      </c>
      <c r="J102" s="1"/>
      <c r="K102" s="1">
        <f>I102-0.5</f>
        <v>4</v>
      </c>
    </row>
    <row r="103" ht="14.25">
      <c r="A103" s="8">
        <v>99</v>
      </c>
      <c r="B103" s="9" t="s">
        <v>199</v>
      </c>
      <c r="C103" s="10" t="s">
        <v>200</v>
      </c>
      <c r="D103" s="11">
        <v>40909.625</v>
      </c>
      <c r="E103" s="11"/>
      <c r="F103" s="11"/>
      <c r="G103" s="11">
        <v>40909.8125</v>
      </c>
      <c r="H103" s="12">
        <f>(IF(G103&gt;D103,(G103-D103)*24,24+(G103-D103)*24))-4</f>
        <v>0.5</v>
      </c>
      <c r="I103" s="1">
        <f>(IF(G103&gt;D103,(G103-D103)*24,24+(G103-D103)*24))</f>
        <v>4.5</v>
      </c>
      <c r="J103" s="1"/>
      <c r="K103" s="1">
        <f>I103-0.5</f>
        <v>4</v>
      </c>
    </row>
    <row r="104" ht="14.25">
      <c r="A104" s="8">
        <v>100</v>
      </c>
      <c r="B104" s="9" t="s">
        <v>201</v>
      </c>
      <c r="C104" s="10" t="s">
        <v>202</v>
      </c>
      <c r="D104" s="11">
        <v>40909.645833333328</v>
      </c>
      <c r="E104" s="11"/>
      <c r="F104" s="11"/>
      <c r="G104" s="11">
        <v>40909.833333333328</v>
      </c>
      <c r="H104" s="12">
        <f>(IF(G104&gt;D104,(G104-D104)*24,24+(G104-D104)*24))-4</f>
        <v>0.5</v>
      </c>
      <c r="I104" s="1">
        <f>(IF(G104&gt;D104,(G104-D104)*24,24+(G104-D104)*24))</f>
        <v>4.5</v>
      </c>
      <c r="J104" s="1"/>
      <c r="K104" s="1">
        <f>I104-0.5</f>
        <v>4</v>
      </c>
    </row>
    <row r="105" ht="14.25">
      <c r="A105" s="8">
        <v>101</v>
      </c>
      <c r="B105" s="9" t="s">
        <v>203</v>
      </c>
      <c r="C105" s="10" t="s">
        <v>204</v>
      </c>
      <c r="D105" s="11">
        <v>40909.666666666664</v>
      </c>
      <c r="E105" s="11"/>
      <c r="F105" s="11"/>
      <c r="G105" s="11">
        <v>40909.854166666664</v>
      </c>
      <c r="H105" s="12">
        <f>(IF(G105&gt;D105,(G105-D105)*24,24+(G105-D105)*24))-4</f>
        <v>0.5</v>
      </c>
      <c r="I105" s="1">
        <f>(IF(G105&gt;D105,(G105-D105)*24,24+(G105-D105)*24))</f>
        <v>4.5</v>
      </c>
      <c r="J105" s="1"/>
      <c r="K105" s="1">
        <f>I105-0.5</f>
        <v>4</v>
      </c>
    </row>
    <row r="106" ht="14.25">
      <c r="A106" s="8">
        <v>102</v>
      </c>
      <c r="B106" s="9" t="s">
        <v>205</v>
      </c>
      <c r="C106" s="10" t="s">
        <v>206</v>
      </c>
      <c r="D106" s="11">
        <v>40909.6875</v>
      </c>
      <c r="E106" s="11"/>
      <c r="F106" s="11"/>
      <c r="G106" s="11">
        <v>40909.875</v>
      </c>
      <c r="H106" s="12">
        <f>(IF(G106&gt;D106,(G106-D106)*24,24+(G106-D106)*24))-4</f>
        <v>0.5</v>
      </c>
      <c r="I106" s="1">
        <f>(IF(G106&gt;D106,(G106-D106)*24,24+(G106-D106)*24))</f>
        <v>4.5</v>
      </c>
      <c r="J106" s="1"/>
      <c r="K106" s="1">
        <f>I106-0.5</f>
        <v>4</v>
      </c>
    </row>
    <row r="107" ht="14.25">
      <c r="A107" s="8">
        <v>103</v>
      </c>
      <c r="B107" s="9" t="s">
        <v>207</v>
      </c>
      <c r="C107" s="10" t="s">
        <v>208</v>
      </c>
      <c r="D107" s="11">
        <v>40909.333333333328</v>
      </c>
      <c r="E107" s="11"/>
      <c r="F107" s="11"/>
      <c r="G107" s="11">
        <v>40909.520833333328</v>
      </c>
      <c r="H107" s="12">
        <f>(IF(G107&gt;D107,(G107-D107)*24,24+(G107-D107)*24))-4</f>
        <v>0.5</v>
      </c>
      <c r="I107" s="1">
        <f>(IF(G107&gt;D107,(G107-D107)*24,24+(G107-D107)*24))</f>
        <v>4.5</v>
      </c>
      <c r="J107" s="1"/>
      <c r="K107" s="1">
        <f>I107-0.5</f>
        <v>4</v>
      </c>
    </row>
    <row r="108" ht="14.25">
      <c r="A108" s="8">
        <v>104</v>
      </c>
      <c r="B108" s="9" t="s">
        <v>209</v>
      </c>
      <c r="C108" s="10" t="s">
        <v>210</v>
      </c>
      <c r="D108" s="11">
        <v>40909.708333333328</v>
      </c>
      <c r="E108" s="11"/>
      <c r="F108" s="11"/>
      <c r="G108" s="11">
        <v>40909.895833333328</v>
      </c>
      <c r="H108" s="12">
        <f>(IF(G108&gt;D108,(G108-D108)*24,24+(G108-D108)*24))-4</f>
        <v>0.5</v>
      </c>
      <c r="I108" s="1">
        <f>(IF(G108&gt;D108,(G108-D108)*24,24+(G108-D108)*24))</f>
        <v>4.5</v>
      </c>
      <c r="J108" s="1"/>
      <c r="K108" s="1">
        <f>I108-0.5</f>
        <v>4</v>
      </c>
    </row>
    <row r="109" ht="14.25">
      <c r="A109" s="8">
        <v>105</v>
      </c>
      <c r="B109" s="9" t="s">
        <v>211</v>
      </c>
      <c r="C109" s="10" t="s">
        <v>212</v>
      </c>
      <c r="D109" s="11">
        <v>40909.729166666664</v>
      </c>
      <c r="E109" s="11"/>
      <c r="F109" s="11"/>
      <c r="G109" s="11">
        <v>40909.916666666664</v>
      </c>
      <c r="H109" s="12">
        <f>(IF(G109&gt;D109,(G109-D109)*24,24+(G109-D109)*24))-4</f>
        <v>0.5</v>
      </c>
      <c r="I109" s="1">
        <f>(IF(G109&gt;D109,(G109-D109)*24,24+(G109-D109)*24))</f>
        <v>4.5</v>
      </c>
      <c r="J109" s="1"/>
      <c r="K109" s="1">
        <f>I109-0.5</f>
        <v>4</v>
      </c>
    </row>
    <row r="110" ht="14.25">
      <c r="A110" s="8">
        <v>106</v>
      </c>
      <c r="B110" s="9" t="s">
        <v>213</v>
      </c>
      <c r="C110" s="10" t="s">
        <v>214</v>
      </c>
      <c r="D110" s="11">
        <v>40909.75</v>
      </c>
      <c r="E110" s="11"/>
      <c r="F110" s="11"/>
      <c r="G110" s="11">
        <v>40909.9375</v>
      </c>
      <c r="H110" s="12">
        <f>(IF(G110&gt;D110,(G110-D110)*24,24+(G110-D110)*24))-4</f>
        <v>0.5</v>
      </c>
      <c r="I110" s="1">
        <f>(IF(G110&gt;D110,(G110-D110)*24,24+(G110-D110)*24))</f>
        <v>4.5</v>
      </c>
      <c r="J110" s="1"/>
      <c r="K110" s="1">
        <f>I110-0.5</f>
        <v>4</v>
      </c>
    </row>
    <row r="111" ht="14.25">
      <c r="A111" s="8">
        <v>107</v>
      </c>
      <c r="B111" s="9" t="s">
        <v>215</v>
      </c>
      <c r="C111" s="10" t="s">
        <v>216</v>
      </c>
      <c r="D111" s="11">
        <v>40909.770833333328</v>
      </c>
      <c r="E111" s="11"/>
      <c r="F111" s="11"/>
      <c r="G111" s="11">
        <v>40909.958333333328</v>
      </c>
      <c r="H111" s="12">
        <f>(IF(G111&gt;D111,(G111-D111)*24,24+(G111-D111)*24))-4</f>
        <v>0.5</v>
      </c>
      <c r="I111" s="1">
        <f>(IF(G111&gt;D111,(G111-D111)*24,24+(G111-D111)*24))</f>
        <v>4.5</v>
      </c>
      <c r="J111" s="1"/>
      <c r="K111" s="1">
        <f>I111-0.5</f>
        <v>4</v>
      </c>
    </row>
    <row r="112" ht="14.25">
      <c r="A112" s="8">
        <v>108</v>
      </c>
      <c r="B112" s="9" t="s">
        <v>217</v>
      </c>
      <c r="C112" s="10" t="s">
        <v>218</v>
      </c>
      <c r="D112" s="11">
        <v>40909.791666666664</v>
      </c>
      <c r="E112" s="11"/>
      <c r="F112" s="11"/>
      <c r="G112" s="11">
        <v>40909.979166666664</v>
      </c>
      <c r="H112" s="12">
        <f>(IF(G112&gt;D112,(G112-D112)*24,24+(G112-D112)*24))-4</f>
        <v>0.5</v>
      </c>
      <c r="I112" s="1">
        <f>(IF(G112&gt;D112,(G112-D112)*24,24+(G112-D112)*24))</f>
        <v>4.5</v>
      </c>
      <c r="J112" s="1"/>
      <c r="K112" s="1">
        <f>I112-0.5</f>
        <v>4</v>
      </c>
    </row>
    <row r="113" ht="14.25">
      <c r="A113" s="8">
        <v>109</v>
      </c>
      <c r="B113" s="9" t="s">
        <v>219</v>
      </c>
      <c r="C113" s="10" t="s">
        <v>220</v>
      </c>
      <c r="D113" s="11">
        <v>40909.8125</v>
      </c>
      <c r="E113" s="11"/>
      <c r="F113" s="11"/>
      <c r="G113" s="11">
        <v>40909</v>
      </c>
      <c r="H113" s="12">
        <f>(IF(G113&gt;D113,(G113-D113)*24,24+(G113-D113)*24))-4</f>
        <v>0.5</v>
      </c>
      <c r="I113" s="1">
        <f>(IF(G113&gt;D113,(G113-D113)*24,24+(G113-D113)*24))</f>
        <v>4.5</v>
      </c>
      <c r="J113" s="1"/>
      <c r="K113" s="1">
        <f>I113-0.5</f>
        <v>4</v>
      </c>
    </row>
    <row r="114" ht="14.25">
      <c r="A114" s="8">
        <v>110</v>
      </c>
      <c r="B114" s="9" t="s">
        <v>221</v>
      </c>
      <c r="C114" s="10" t="s">
        <v>222</v>
      </c>
      <c r="D114" s="11">
        <v>40909.3125</v>
      </c>
      <c r="E114" s="11"/>
      <c r="F114" s="11"/>
      <c r="G114" s="11">
        <v>40909.541666666664</v>
      </c>
      <c r="H114" s="12">
        <f>(IF(G114&gt;D114,(G114-D114)*24,24+(G114-D114)*24))-4</f>
        <v>1.4999999999417923</v>
      </c>
      <c r="I114" s="1">
        <f>(IF(G114&gt;D114,(G114-D114)*24,24+(G114-D114)*24))</f>
        <v>5.4999999999417923</v>
      </c>
      <c r="J114" s="1"/>
      <c r="K114" s="1">
        <f>I114-0.5</f>
        <v>4.9999999999417923</v>
      </c>
    </row>
    <row r="115" ht="14.25">
      <c r="A115" s="8">
        <v>111</v>
      </c>
      <c r="B115" s="9" t="s">
        <v>223</v>
      </c>
      <c r="C115" s="10" t="s">
        <v>224</v>
      </c>
      <c r="D115" s="11">
        <v>40909.333333333328</v>
      </c>
      <c r="E115" s="11"/>
      <c r="F115" s="11"/>
      <c r="G115" s="11">
        <v>40909.5625</v>
      </c>
      <c r="H115" s="12">
        <f>(IF(G115&gt;D115,(G115-D115)*24,24+(G115-D115)*24))-4</f>
        <v>1.5000000001164153</v>
      </c>
      <c r="I115" s="1">
        <f>(IF(G115&gt;D115,(G115-D115)*24,24+(G115-D115)*24))</f>
        <v>5.5000000001164153</v>
      </c>
      <c r="J115" s="1"/>
      <c r="K115" s="1">
        <f>I115-0.5</f>
        <v>5.0000000001164153</v>
      </c>
    </row>
    <row r="116" ht="14.25">
      <c r="A116" s="8">
        <v>112</v>
      </c>
      <c r="B116" s="9" t="s">
        <v>225</v>
      </c>
      <c r="C116" s="10" t="s">
        <v>226</v>
      </c>
      <c r="D116" s="11">
        <v>40909.354166666664</v>
      </c>
      <c r="E116" s="11"/>
      <c r="F116" s="11"/>
      <c r="G116" s="11">
        <v>40909.583333333328</v>
      </c>
      <c r="H116" s="12">
        <f>(IF(G116&gt;D116,(G116-D116)*24,24+(G116-D116)*24))-4</f>
        <v>1.4999999999417923</v>
      </c>
      <c r="I116" s="1">
        <f>(IF(G116&gt;D116,(G116-D116)*24,24+(G116-D116)*24))</f>
        <v>5.4999999999417923</v>
      </c>
      <c r="J116" s="1"/>
      <c r="K116" s="1">
        <f>I116-0.5</f>
        <v>4.9999999999417923</v>
      </c>
    </row>
    <row r="117" ht="14.25">
      <c r="A117" s="8">
        <v>113</v>
      </c>
      <c r="B117" s="9" t="s">
        <v>227</v>
      </c>
      <c r="C117" s="10" t="s">
        <v>228</v>
      </c>
      <c r="D117" s="11">
        <v>40909.375</v>
      </c>
      <c r="E117" s="11"/>
      <c r="F117" s="11"/>
      <c r="G117" s="11">
        <v>40909.604166666664</v>
      </c>
      <c r="H117" s="12">
        <f>(IF(G117&gt;D117,(G117-D117)*24,24+(G117-D117)*24))-4</f>
        <v>1.4999999999417923</v>
      </c>
      <c r="I117" s="1">
        <f>(IF(G117&gt;D117,(G117-D117)*24,24+(G117-D117)*24))</f>
        <v>5.4999999999417923</v>
      </c>
      <c r="J117" s="1"/>
      <c r="K117" s="1">
        <f>I117-0.5</f>
        <v>4.9999999999417923</v>
      </c>
    </row>
    <row r="118" ht="14.25">
      <c r="A118" s="8">
        <v>114</v>
      </c>
      <c r="B118" s="9" t="s">
        <v>229</v>
      </c>
      <c r="C118" s="10" t="s">
        <v>230</v>
      </c>
      <c r="D118" s="11">
        <v>40909.354166666664</v>
      </c>
      <c r="E118" s="11"/>
      <c r="F118" s="11"/>
      <c r="G118" s="11">
        <v>40909.541666666664</v>
      </c>
      <c r="H118" s="12">
        <f>(IF(G118&gt;D118,(G118-D118)*24,24+(G118-D118)*24))-4</f>
        <v>0.5</v>
      </c>
      <c r="I118" s="1">
        <f>(IF(G118&gt;D118,(G118-D118)*24,24+(G118-D118)*24))</f>
        <v>4.5</v>
      </c>
      <c r="J118" s="1"/>
      <c r="K118" s="1">
        <f>I118-0.5</f>
        <v>4</v>
      </c>
    </row>
    <row r="119" ht="14.25">
      <c r="A119" s="8">
        <v>115</v>
      </c>
      <c r="B119" s="9" t="s">
        <v>231</v>
      </c>
      <c r="C119" s="10" t="s">
        <v>232</v>
      </c>
      <c r="D119" s="11">
        <v>40909.395833333328</v>
      </c>
      <c r="E119" s="11"/>
      <c r="F119" s="11"/>
      <c r="G119" s="11">
        <v>40909.625</v>
      </c>
      <c r="H119" s="12">
        <f>(IF(G119&gt;D119,(G119-D119)*24,24+(G119-D119)*24))-4</f>
        <v>1.5000000001164153</v>
      </c>
      <c r="I119" s="1">
        <f>(IF(G119&gt;D119,(G119-D119)*24,24+(G119-D119)*24))</f>
        <v>5.5000000001164153</v>
      </c>
      <c r="J119" s="1"/>
      <c r="K119" s="1">
        <f>I119-0.5</f>
        <v>5.0000000001164153</v>
      </c>
    </row>
    <row r="120" ht="14.25">
      <c r="A120" s="8">
        <v>116</v>
      </c>
      <c r="B120" s="9" t="s">
        <v>233</v>
      </c>
      <c r="C120" s="10" t="s">
        <v>234</v>
      </c>
      <c r="D120" s="11">
        <v>40909.416666666664</v>
      </c>
      <c r="E120" s="11"/>
      <c r="F120" s="11"/>
      <c r="G120" s="11">
        <v>40909.645833333328</v>
      </c>
      <c r="H120" s="12">
        <f>(IF(G120&gt;D120,(G120-D120)*24,24+(G120-D120)*24))-4</f>
        <v>1.4999999999417923</v>
      </c>
      <c r="I120" s="1">
        <f>(IF(G120&gt;D120,(G120-D120)*24,24+(G120-D120)*24))</f>
        <v>5.4999999999417923</v>
      </c>
      <c r="J120" s="1"/>
      <c r="K120" s="1">
        <f>I120-0.5</f>
        <v>4.9999999999417923</v>
      </c>
    </row>
    <row r="121" ht="14.25">
      <c r="A121" s="8">
        <v>117</v>
      </c>
      <c r="B121" s="9" t="s">
        <v>235</v>
      </c>
      <c r="C121" s="10" t="s">
        <v>236</v>
      </c>
      <c r="D121" s="11">
        <v>40909.4375</v>
      </c>
      <c r="E121" s="11"/>
      <c r="F121" s="11"/>
      <c r="G121" s="11">
        <v>40909.666666666664</v>
      </c>
      <c r="H121" s="12">
        <f>(IF(G121&gt;D121,(G121-D121)*24,24+(G121-D121)*24))-4</f>
        <v>1.4999999999417923</v>
      </c>
      <c r="I121" s="1">
        <f>(IF(G121&gt;D121,(G121-D121)*24,24+(G121-D121)*24))</f>
        <v>5.4999999999417923</v>
      </c>
      <c r="J121" s="1"/>
      <c r="K121" s="1">
        <f>I121-0.5</f>
        <v>4.9999999999417923</v>
      </c>
    </row>
    <row r="122" ht="14.25">
      <c r="A122" s="8">
        <v>118</v>
      </c>
      <c r="B122" s="9" t="s">
        <v>237</v>
      </c>
      <c r="C122" s="10" t="s">
        <v>238</v>
      </c>
      <c r="D122" s="11">
        <v>40909.458333333328</v>
      </c>
      <c r="E122" s="11"/>
      <c r="F122" s="11"/>
      <c r="G122" s="11">
        <v>40909.6875</v>
      </c>
      <c r="H122" s="12">
        <f>(IF(G122&gt;D122,(G122-D122)*24,24+(G122-D122)*24))-4</f>
        <v>1.5000000001164153</v>
      </c>
      <c r="I122" s="1">
        <f>(IF(G122&gt;D122,(G122-D122)*24,24+(G122-D122)*24))</f>
        <v>5.5000000001164153</v>
      </c>
      <c r="J122" s="1"/>
      <c r="K122" s="1">
        <f>I122-0.5</f>
        <v>5.0000000001164153</v>
      </c>
    </row>
    <row r="123" ht="14.25">
      <c r="A123" s="8">
        <v>119</v>
      </c>
      <c r="B123" s="9" t="s">
        <v>239</v>
      </c>
      <c r="C123" s="10" t="s">
        <v>240</v>
      </c>
      <c r="D123" s="11">
        <v>40909.479166666664</v>
      </c>
      <c r="E123" s="11"/>
      <c r="F123" s="11"/>
      <c r="G123" s="11">
        <v>40909.708333333328</v>
      </c>
      <c r="H123" s="12">
        <f>(IF(G123&gt;D123,(G123-D123)*24,24+(G123-D123)*24))-4</f>
        <v>1.4999999999417923</v>
      </c>
      <c r="I123" s="1">
        <f>(IF(G123&gt;D123,(G123-D123)*24,24+(G123-D123)*24))</f>
        <v>5.4999999999417923</v>
      </c>
      <c r="J123" s="1"/>
      <c r="K123" s="1">
        <f>I123-0.5</f>
        <v>4.9999999999417923</v>
      </c>
    </row>
    <row r="124" ht="14.25">
      <c r="A124" s="8">
        <v>120</v>
      </c>
      <c r="B124" s="9" t="s">
        <v>241</v>
      </c>
      <c r="C124" s="10" t="s">
        <v>242</v>
      </c>
      <c r="D124" s="11">
        <v>40909.5</v>
      </c>
      <c r="E124" s="11"/>
      <c r="F124" s="11"/>
      <c r="G124" s="11">
        <v>40909.729166666664</v>
      </c>
      <c r="H124" s="12">
        <f>(IF(G124&gt;D124,(G124-D124)*24,24+(G124-D124)*24))-4</f>
        <v>1.4999999999417923</v>
      </c>
      <c r="I124" s="1">
        <f>(IF(G124&gt;D124,(G124-D124)*24,24+(G124-D124)*24))</f>
        <v>5.4999999999417923</v>
      </c>
      <c r="J124" s="1"/>
      <c r="K124" s="1">
        <f>I124-0.5</f>
        <v>4.9999999999417923</v>
      </c>
    </row>
    <row r="125" ht="14.25">
      <c r="A125" s="8">
        <v>121</v>
      </c>
      <c r="B125" s="9" t="s">
        <v>243</v>
      </c>
      <c r="C125" s="10" t="s">
        <v>244</v>
      </c>
      <c r="D125" s="11">
        <v>40909.520833333328</v>
      </c>
      <c r="E125" s="11"/>
      <c r="F125" s="11"/>
      <c r="G125" s="11">
        <v>40909.75</v>
      </c>
      <c r="H125" s="12">
        <f>(IF(G125&gt;D125,(G125-D125)*24,24+(G125-D125)*24))-4</f>
        <v>1.5000000001164153</v>
      </c>
      <c r="I125" s="1">
        <f>(IF(G125&gt;D125,(G125-D125)*24,24+(G125-D125)*24))</f>
        <v>5.5000000001164153</v>
      </c>
      <c r="J125" s="1"/>
      <c r="K125" s="1">
        <f>I125-0.5</f>
        <v>5.0000000001164153</v>
      </c>
    </row>
    <row r="126" ht="14.25">
      <c r="A126" s="8">
        <v>122</v>
      </c>
      <c r="B126" s="9" t="s">
        <v>245</v>
      </c>
      <c r="C126" s="10" t="s">
        <v>246</v>
      </c>
      <c r="D126" s="11">
        <v>40909.541666666664</v>
      </c>
      <c r="E126" s="11"/>
      <c r="F126" s="11"/>
      <c r="G126" s="11">
        <v>40909.770833333328</v>
      </c>
      <c r="H126" s="12">
        <f>(IF(G126&gt;D126,(G126-D126)*24,24+(G126-D126)*24))-4</f>
        <v>1.4999999999417923</v>
      </c>
      <c r="I126" s="1">
        <f>(IF(G126&gt;D126,(G126-D126)*24,24+(G126-D126)*24))</f>
        <v>5.4999999999417923</v>
      </c>
      <c r="J126" s="1"/>
      <c r="K126" s="1">
        <f>I126-0.5</f>
        <v>4.9999999999417923</v>
      </c>
    </row>
    <row r="127" ht="14.25">
      <c r="A127" s="8">
        <v>123</v>
      </c>
      <c r="B127" s="9" t="s">
        <v>247</v>
      </c>
      <c r="C127" s="10" t="s">
        <v>248</v>
      </c>
      <c r="D127" s="11">
        <v>40909.5625</v>
      </c>
      <c r="E127" s="11"/>
      <c r="F127" s="11"/>
      <c r="G127" s="11">
        <v>40909.791666666664</v>
      </c>
      <c r="H127" s="12">
        <f>(IF(G127&gt;D127,(G127-D127)*24,24+(G127-D127)*24))-4</f>
        <v>1.4999999999417923</v>
      </c>
      <c r="I127" s="1">
        <f>(IF(G127&gt;D127,(G127-D127)*24,24+(G127-D127)*24))</f>
        <v>5.4999999999417923</v>
      </c>
      <c r="J127" s="1"/>
      <c r="K127" s="1">
        <f>I127-0.5</f>
        <v>4.9999999999417923</v>
      </c>
    </row>
    <row r="128" ht="14.25">
      <c r="A128" s="8">
        <v>124</v>
      </c>
      <c r="B128" s="9" t="s">
        <v>249</v>
      </c>
      <c r="C128" s="10" t="s">
        <v>250</v>
      </c>
      <c r="D128" s="11">
        <v>40909.583333333328</v>
      </c>
      <c r="E128" s="11"/>
      <c r="F128" s="11"/>
      <c r="G128" s="11">
        <v>40909.8125</v>
      </c>
      <c r="H128" s="12">
        <f>(IF(G128&gt;D128,(G128-D128)*24,24+(G128-D128)*24))-4</f>
        <v>1.5000000001164153</v>
      </c>
      <c r="I128" s="1">
        <f>(IF(G128&gt;D128,(G128-D128)*24,24+(G128-D128)*24))</f>
        <v>5.5000000001164153</v>
      </c>
      <c r="J128" s="1"/>
      <c r="K128" s="1">
        <f>I128-0.5</f>
        <v>5.0000000001164153</v>
      </c>
    </row>
    <row r="129" ht="14.25">
      <c r="A129" s="8">
        <v>125</v>
      </c>
      <c r="B129" s="9" t="s">
        <v>251</v>
      </c>
      <c r="C129" s="10" t="s">
        <v>252</v>
      </c>
      <c r="D129" s="11">
        <v>40909.375</v>
      </c>
      <c r="E129" s="11"/>
      <c r="F129" s="11"/>
      <c r="G129" s="11">
        <v>40909.5625</v>
      </c>
      <c r="H129" s="12">
        <f>(IF(G129&gt;D129,(G129-D129)*24,24+(G129-D129)*24))-4</f>
        <v>0.5</v>
      </c>
      <c r="I129" s="1">
        <f>(IF(G129&gt;D129,(G129-D129)*24,24+(G129-D129)*24))</f>
        <v>4.5</v>
      </c>
      <c r="J129" s="1"/>
      <c r="K129" s="1">
        <f>I129-0.5</f>
        <v>4</v>
      </c>
    </row>
    <row r="130" ht="14.25">
      <c r="A130" s="8">
        <v>126</v>
      </c>
      <c r="B130" s="9" t="s">
        <v>253</v>
      </c>
      <c r="C130" s="10" t="s">
        <v>254</v>
      </c>
      <c r="D130" s="11">
        <v>40909.604166666664</v>
      </c>
      <c r="E130" s="11"/>
      <c r="F130" s="11"/>
      <c r="G130" s="11">
        <v>40909.833333333328</v>
      </c>
      <c r="H130" s="12">
        <f>(IF(G130&gt;D130,(G130-D130)*24,24+(G130-D130)*24))-4</f>
        <v>1.4999999999417923</v>
      </c>
      <c r="I130" s="1">
        <f>(IF(G130&gt;D130,(G130-D130)*24,24+(G130-D130)*24))</f>
        <v>5.4999999999417923</v>
      </c>
      <c r="J130" s="1"/>
      <c r="K130" s="1">
        <f>I130-0.5</f>
        <v>4.9999999999417923</v>
      </c>
    </row>
    <row r="131" ht="14.25">
      <c r="A131" s="8">
        <v>127</v>
      </c>
      <c r="B131" s="9" t="s">
        <v>255</v>
      </c>
      <c r="C131" s="10" t="s">
        <v>256</v>
      </c>
      <c r="D131" s="11">
        <v>40909.625</v>
      </c>
      <c r="E131" s="11"/>
      <c r="F131" s="11"/>
      <c r="G131" s="11">
        <v>40909.854166666664</v>
      </c>
      <c r="H131" s="12">
        <f>(IF(G131&gt;D131,(G131-D131)*24,24+(G131-D131)*24))-4</f>
        <v>1.4999999999417923</v>
      </c>
      <c r="I131" s="1">
        <f>(IF(G131&gt;D131,(G131-D131)*24,24+(G131-D131)*24))</f>
        <v>5.4999999999417923</v>
      </c>
      <c r="J131" s="1"/>
      <c r="K131" s="1">
        <f>I131-0.5</f>
        <v>4.9999999999417923</v>
      </c>
    </row>
    <row r="132" ht="14.25">
      <c r="A132" s="8">
        <v>128</v>
      </c>
      <c r="B132" s="9" t="s">
        <v>257</v>
      </c>
      <c r="C132" s="10" t="s">
        <v>258</v>
      </c>
      <c r="D132" s="11">
        <v>40909.645833333328</v>
      </c>
      <c r="E132" s="11"/>
      <c r="F132" s="11"/>
      <c r="G132" s="11">
        <v>40909.875</v>
      </c>
      <c r="H132" s="12">
        <f>(IF(G132&gt;D132,(G132-D132)*24,24+(G132-D132)*24))-4</f>
        <v>1.5000000001164153</v>
      </c>
      <c r="I132" s="1">
        <f>(IF(G132&gt;D132,(G132-D132)*24,24+(G132-D132)*24))</f>
        <v>5.5000000001164153</v>
      </c>
      <c r="J132" s="1"/>
      <c r="K132" s="1">
        <f>I132-0.5</f>
        <v>5.0000000001164153</v>
      </c>
    </row>
    <row r="133" ht="14.25">
      <c r="A133" s="8">
        <v>129</v>
      </c>
      <c r="B133" s="9" t="s">
        <v>259</v>
      </c>
      <c r="C133" s="10" t="s">
        <v>260</v>
      </c>
      <c r="D133" s="11">
        <v>40909.666666666664</v>
      </c>
      <c r="E133" s="11"/>
      <c r="F133" s="11"/>
      <c r="G133" s="11">
        <v>40909.895833333328</v>
      </c>
      <c r="H133" s="12">
        <f>(IF(G133&gt;D133,(G133-D133)*24,24+(G133-D133)*24))-4</f>
        <v>1.4999999999417923</v>
      </c>
      <c r="I133" s="1">
        <f>(IF(G133&gt;D133,(G133-D133)*24,24+(G133-D133)*24))</f>
        <v>5.4999999999417923</v>
      </c>
      <c r="J133" s="1"/>
      <c r="K133" s="1">
        <f>I133-0.5</f>
        <v>4.9999999999417923</v>
      </c>
    </row>
    <row r="134" ht="14.25">
      <c r="A134" s="8">
        <v>130</v>
      </c>
      <c r="B134" s="9" t="s">
        <v>261</v>
      </c>
      <c r="C134" s="10" t="s">
        <v>262</v>
      </c>
      <c r="D134" s="11">
        <v>40909.6875</v>
      </c>
      <c r="E134" s="11"/>
      <c r="F134" s="11"/>
      <c r="G134" s="11">
        <v>40909.916666666664</v>
      </c>
      <c r="H134" s="12">
        <f>(IF(G134&gt;D134,(G134-D134)*24,24+(G134-D134)*24))-4</f>
        <v>1.4999999999417923</v>
      </c>
      <c r="I134" s="1">
        <f>(IF(G134&gt;D134,(G134-D134)*24,24+(G134-D134)*24))</f>
        <v>5.4999999999417923</v>
      </c>
      <c r="J134" s="1"/>
      <c r="K134" s="1">
        <f>I134-0.5</f>
        <v>4.9999999999417923</v>
      </c>
    </row>
    <row r="135" ht="14.25">
      <c r="A135" s="8">
        <v>131</v>
      </c>
      <c r="B135" s="9" t="s">
        <v>263</v>
      </c>
      <c r="C135" s="10" t="s">
        <v>264</v>
      </c>
      <c r="D135" s="11">
        <v>40909.708333333328</v>
      </c>
      <c r="E135" s="11"/>
      <c r="F135" s="11"/>
      <c r="G135" s="11">
        <v>40909.9375</v>
      </c>
      <c r="H135" s="12">
        <f>(IF(G135&gt;D135,(G135-D135)*24,24+(G135-D135)*24))-4</f>
        <v>1.5000000001164153</v>
      </c>
      <c r="I135" s="1">
        <f>(IF(G135&gt;D135,(G135-D135)*24,24+(G135-D135)*24))</f>
        <v>5.5000000001164153</v>
      </c>
      <c r="J135" s="1"/>
      <c r="K135" s="1">
        <f>I135-0.5</f>
        <v>5.0000000001164153</v>
      </c>
    </row>
    <row r="136" ht="14.25">
      <c r="A136" s="8">
        <v>132</v>
      </c>
      <c r="B136" s="9" t="s">
        <v>265</v>
      </c>
      <c r="C136" s="10" t="s">
        <v>266</v>
      </c>
      <c r="D136" s="11">
        <v>40909.729166666664</v>
      </c>
      <c r="E136" s="11"/>
      <c r="F136" s="11"/>
      <c r="G136" s="11">
        <v>40909.958333333328</v>
      </c>
      <c r="H136" s="12">
        <f>(IF(G136&gt;D136,(G136-D136)*24,24+(G136-D136)*24))-4</f>
        <v>1.4999999999417923</v>
      </c>
      <c r="I136" s="1">
        <f>(IF(G136&gt;D136,(G136-D136)*24,24+(G136-D136)*24))</f>
        <v>5.4999999999417923</v>
      </c>
      <c r="J136" s="1"/>
      <c r="K136" s="1">
        <f>I136-0.5</f>
        <v>4.9999999999417923</v>
      </c>
    </row>
    <row r="137" ht="14.25">
      <c r="A137" s="8">
        <v>133</v>
      </c>
      <c r="B137" s="9" t="s">
        <v>267</v>
      </c>
      <c r="C137" s="10" t="s">
        <v>268</v>
      </c>
      <c r="D137" s="11">
        <v>40909.75</v>
      </c>
      <c r="E137" s="11"/>
      <c r="F137" s="11"/>
      <c r="G137" s="11">
        <v>40909.979166666664</v>
      </c>
      <c r="H137" s="12">
        <f>(IF(G137&gt;D137,(G137-D137)*24,24+(G137-D137)*24))-4</f>
        <v>1.4999999999417923</v>
      </c>
      <c r="I137" s="1">
        <f>(IF(G137&gt;D137,(G137-D137)*24,24+(G137-D137)*24))</f>
        <v>5.4999999999417923</v>
      </c>
      <c r="J137" s="1"/>
      <c r="K137" s="1">
        <f>I137-0.5</f>
        <v>4.9999999999417923</v>
      </c>
    </row>
    <row r="138" ht="14.25">
      <c r="A138" s="8">
        <v>134</v>
      </c>
      <c r="B138" s="9" t="s">
        <v>269</v>
      </c>
      <c r="C138" s="10" t="s">
        <v>270</v>
      </c>
      <c r="D138" s="11">
        <v>40909.770833333328</v>
      </c>
      <c r="E138" s="11"/>
      <c r="F138" s="11"/>
      <c r="G138" s="11">
        <v>40909</v>
      </c>
      <c r="H138" s="12">
        <f>(IF(G138&gt;D138,(G138-D138)*24,24+(G138-D138)*24))-4</f>
        <v>1.5000000001164153</v>
      </c>
      <c r="I138" s="1">
        <f>(IF(G138&gt;D138,(G138-D138)*24,24+(G138-D138)*24))</f>
        <v>5.5000000001164153</v>
      </c>
      <c r="J138" s="1"/>
      <c r="K138" s="1">
        <f>I138-0.5</f>
        <v>5.0000000001164153</v>
      </c>
    </row>
    <row r="139" ht="14.25">
      <c r="A139" s="8">
        <v>135</v>
      </c>
      <c r="B139" s="9" t="s">
        <v>271</v>
      </c>
      <c r="C139" s="10" t="s">
        <v>272</v>
      </c>
      <c r="D139" s="11">
        <v>40909.791666666664</v>
      </c>
      <c r="E139" s="11"/>
      <c r="F139" s="11"/>
      <c r="G139" s="11">
        <v>40909.020833333328</v>
      </c>
      <c r="H139" s="12">
        <f>(IF(G139&gt;D139,(G139-D139)*24,24+(G139-D139)*24))-4</f>
        <v>1.4999999999417923</v>
      </c>
      <c r="I139" s="1">
        <f>(IF(G139&gt;D139,(G139-D139)*24,24+(G139-D139)*24))</f>
        <v>5.4999999999417923</v>
      </c>
      <c r="J139" s="1"/>
      <c r="K139" s="1">
        <f>I139-0.5</f>
        <v>4.9999999999417923</v>
      </c>
    </row>
    <row r="140" ht="14.25">
      <c r="A140" s="8">
        <v>136</v>
      </c>
      <c r="B140" s="9" t="s">
        <v>273</v>
      </c>
      <c r="C140" s="10" t="s">
        <v>274</v>
      </c>
      <c r="D140" s="11">
        <v>40909.395833333328</v>
      </c>
      <c r="E140" s="11"/>
      <c r="F140" s="11"/>
      <c r="G140" s="11">
        <v>40909.583333333328</v>
      </c>
      <c r="H140" s="12">
        <f>(IF(G140&gt;D140,(G140-D140)*24,24+(G140-D140)*24))-4</f>
        <v>0.5</v>
      </c>
      <c r="I140" s="1">
        <f>(IF(G140&gt;D140,(G140-D140)*24,24+(G140-D140)*24))</f>
        <v>4.5</v>
      </c>
      <c r="J140" s="1"/>
      <c r="K140" s="1">
        <f>I140-0.5</f>
        <v>4</v>
      </c>
    </row>
    <row r="141" ht="14.25">
      <c r="A141" s="8">
        <v>137</v>
      </c>
      <c r="B141" s="9" t="s">
        <v>275</v>
      </c>
      <c r="C141" s="10" t="s">
        <v>276</v>
      </c>
      <c r="D141" s="11">
        <v>40909.8125</v>
      </c>
      <c r="E141" s="11"/>
      <c r="F141" s="11"/>
      <c r="G141" s="11">
        <v>40909.041666666664</v>
      </c>
      <c r="H141" s="12">
        <f>(IF(G141&gt;D141,(G141-D141)*24,24+(G141-D141)*24))-4</f>
        <v>1.4999999999417923</v>
      </c>
      <c r="I141" s="1">
        <f>(IF(G141&gt;D141,(G141-D141)*24,24+(G141-D141)*24))</f>
        <v>5.4999999999417923</v>
      </c>
      <c r="J141" s="1"/>
      <c r="K141" s="1">
        <f>I141-0.5</f>
        <v>4.9999999999417923</v>
      </c>
    </row>
    <row r="142" ht="14.25">
      <c r="A142" s="8">
        <v>138</v>
      </c>
      <c r="B142" s="9" t="s">
        <v>277</v>
      </c>
      <c r="C142" s="10" t="s">
        <v>278</v>
      </c>
      <c r="D142" s="11">
        <v>40909.3125</v>
      </c>
      <c r="E142" s="11"/>
      <c r="F142" s="11"/>
      <c r="G142" s="11">
        <v>40909.583333333328</v>
      </c>
      <c r="H142" s="12">
        <f>(IF(G142&gt;D142,(G142-D142)*24,24+(G142-D142)*24))-4</f>
        <v>2.4999999998835847</v>
      </c>
      <c r="I142" s="1">
        <f>(IF(G142&gt;D142,(G142-D142)*24,24+(G142-D142)*24))</f>
        <v>6.4999999998835847</v>
      </c>
      <c r="J142" s="1"/>
      <c r="K142" s="1">
        <f>I142-0.5</f>
        <v>5.9999999998835847</v>
      </c>
    </row>
    <row r="143" ht="14.25">
      <c r="A143" s="8">
        <v>139</v>
      </c>
      <c r="B143" s="9" t="s">
        <v>279</v>
      </c>
      <c r="C143" s="10" t="s">
        <v>280</v>
      </c>
      <c r="D143" s="11">
        <v>40909.333333333328</v>
      </c>
      <c r="E143" s="11"/>
      <c r="F143" s="11"/>
      <c r="G143" s="11">
        <v>40909.604166666664</v>
      </c>
      <c r="H143" s="12">
        <f>(IF(G143&gt;D143,(G143-D143)*24,24+(G143-D143)*24))-4</f>
        <v>2.5000000000582077</v>
      </c>
      <c r="I143" s="1">
        <f>(IF(G143&gt;D143,(G143-D143)*24,24+(G143-D143)*24))</f>
        <v>6.5000000000582077</v>
      </c>
      <c r="J143" s="1"/>
      <c r="K143" s="1">
        <f>I143-0.5</f>
        <v>6.0000000000582077</v>
      </c>
    </row>
    <row r="144" ht="14.25">
      <c r="A144" s="8">
        <v>140</v>
      </c>
      <c r="B144" s="9" t="s">
        <v>281</v>
      </c>
      <c r="C144" s="10" t="s">
        <v>282</v>
      </c>
      <c r="D144" s="11">
        <v>40909.354166666664</v>
      </c>
      <c r="E144" s="11"/>
      <c r="F144" s="11"/>
      <c r="G144" s="11">
        <v>40909.625</v>
      </c>
      <c r="H144" s="12">
        <f>(IF(G144&gt;D144,(G144-D144)*24,24+(G144-D144)*24))-4</f>
        <v>2.5000000000582077</v>
      </c>
      <c r="I144" s="1">
        <f>(IF(G144&gt;D144,(G144-D144)*24,24+(G144-D144)*24))</f>
        <v>6.5000000000582077</v>
      </c>
      <c r="J144" s="1"/>
      <c r="K144" s="1">
        <f>I144-0.5</f>
        <v>6.0000000000582077</v>
      </c>
    </row>
    <row r="145" ht="14.25">
      <c r="A145" s="8">
        <v>141</v>
      </c>
      <c r="B145" s="9" t="s">
        <v>283</v>
      </c>
      <c r="C145" s="10" t="s">
        <v>284</v>
      </c>
      <c r="D145" s="11">
        <v>40909.375</v>
      </c>
      <c r="E145" s="11"/>
      <c r="F145" s="11"/>
      <c r="G145" s="11">
        <v>40909.645833333328</v>
      </c>
      <c r="H145" s="12">
        <f>(IF(G145&gt;D145,(G145-D145)*24,24+(G145-D145)*24))-4</f>
        <v>2.4999999998835847</v>
      </c>
      <c r="I145" s="1">
        <f>(IF(G145&gt;D145,(G145-D145)*24,24+(G145-D145)*24))</f>
        <v>6.4999999998835847</v>
      </c>
      <c r="J145" s="1"/>
      <c r="K145" s="1">
        <f>I145-0.5</f>
        <v>5.9999999998835847</v>
      </c>
    </row>
    <row r="146" ht="14.25">
      <c r="A146" s="8">
        <v>142</v>
      </c>
      <c r="B146" s="9" t="s">
        <v>285</v>
      </c>
      <c r="C146" s="10" t="s">
        <v>286</v>
      </c>
      <c r="D146" s="11">
        <v>40909.395833333328</v>
      </c>
      <c r="E146" s="11"/>
      <c r="F146" s="11"/>
      <c r="G146" s="11">
        <v>40909.666666666664</v>
      </c>
      <c r="H146" s="12">
        <f>(IF(G146&gt;D146,(G146-D146)*24,24+(G146-D146)*24))-4</f>
        <v>2.5000000000582077</v>
      </c>
      <c r="I146" s="1">
        <f>(IF(G146&gt;D146,(G146-D146)*24,24+(G146-D146)*24))</f>
        <v>6.5000000000582077</v>
      </c>
      <c r="J146" s="1"/>
      <c r="K146" s="1">
        <f>I146-0.5</f>
        <v>6.0000000000582077</v>
      </c>
    </row>
    <row r="147" ht="14.25">
      <c r="A147" s="8">
        <v>143</v>
      </c>
      <c r="B147" s="9" t="s">
        <v>287</v>
      </c>
      <c r="C147" s="10" t="s">
        <v>288</v>
      </c>
      <c r="D147" s="11">
        <v>40909.416666666664</v>
      </c>
      <c r="E147" s="11"/>
      <c r="F147" s="11"/>
      <c r="G147" s="11">
        <v>40909.6875</v>
      </c>
      <c r="H147" s="12">
        <f>(IF(G147&gt;D147,(G147-D147)*24,24+(G147-D147)*24))-4</f>
        <v>2.5000000000582077</v>
      </c>
      <c r="I147" s="1">
        <f>(IF(G147&gt;D147,(G147-D147)*24,24+(G147-D147)*24))</f>
        <v>6.5000000000582077</v>
      </c>
      <c r="J147" s="1"/>
      <c r="K147" s="1">
        <f>I147-0.5</f>
        <v>6.0000000000582077</v>
      </c>
    </row>
    <row r="148" ht="14.25">
      <c r="A148" s="8">
        <v>144</v>
      </c>
      <c r="B148" s="9" t="s">
        <v>289</v>
      </c>
      <c r="C148" s="10" t="s">
        <v>290</v>
      </c>
      <c r="D148" s="11">
        <v>40909.4375</v>
      </c>
      <c r="E148" s="11"/>
      <c r="F148" s="11"/>
      <c r="G148" s="11">
        <v>40909.708333333328</v>
      </c>
      <c r="H148" s="12">
        <f>(IF(G148&gt;D148,(G148-D148)*24,24+(G148-D148)*24))-4</f>
        <v>2.4999999998835847</v>
      </c>
      <c r="I148" s="1">
        <f>(IF(G148&gt;D148,(G148-D148)*24,24+(G148-D148)*24))</f>
        <v>6.4999999998835847</v>
      </c>
      <c r="J148" s="1"/>
      <c r="K148" s="1">
        <f>I148-0.5</f>
        <v>5.9999999998835847</v>
      </c>
    </row>
    <row r="149" ht="14.25">
      <c r="A149" s="8">
        <v>145</v>
      </c>
      <c r="B149" s="9" t="s">
        <v>291</v>
      </c>
      <c r="C149" s="10" t="s">
        <v>292</v>
      </c>
      <c r="D149" s="11">
        <v>40909.458333333328</v>
      </c>
      <c r="E149" s="11"/>
      <c r="F149" s="11"/>
      <c r="G149" s="11">
        <v>40909.729166666664</v>
      </c>
      <c r="H149" s="12">
        <f>(IF(G149&gt;D149,(G149-D149)*24,24+(G149-D149)*24))-4</f>
        <v>2.5000000000582077</v>
      </c>
      <c r="I149" s="1">
        <f>(IF(G149&gt;D149,(G149-D149)*24,24+(G149-D149)*24))</f>
        <v>6.5000000000582077</v>
      </c>
      <c r="J149" s="1"/>
      <c r="K149" s="1">
        <f>I149-0.5</f>
        <v>6.0000000000582077</v>
      </c>
    </row>
    <row r="150" ht="14.25">
      <c r="A150" s="8">
        <v>146</v>
      </c>
      <c r="B150" s="9" t="s">
        <v>293</v>
      </c>
      <c r="C150" s="10" t="s">
        <v>294</v>
      </c>
      <c r="D150" s="11">
        <v>40909.479166666664</v>
      </c>
      <c r="E150" s="11"/>
      <c r="F150" s="11"/>
      <c r="G150" s="11">
        <v>40909.75</v>
      </c>
      <c r="H150" s="12">
        <f>(IF(G150&gt;D150,(G150-D150)*24,24+(G150-D150)*24))-4</f>
        <v>2.5000000000582077</v>
      </c>
      <c r="I150" s="1">
        <f>(IF(G150&gt;D150,(G150-D150)*24,24+(G150-D150)*24))</f>
        <v>6.5000000000582077</v>
      </c>
      <c r="J150" s="1"/>
      <c r="K150" s="1">
        <f>I150-0.5</f>
        <v>6.0000000000582077</v>
      </c>
    </row>
    <row r="151" ht="14.25">
      <c r="A151" s="8">
        <v>147</v>
      </c>
      <c r="B151" s="9" t="s">
        <v>295</v>
      </c>
      <c r="C151" s="10" t="s">
        <v>296</v>
      </c>
      <c r="D151" s="11">
        <v>40909.416666666664</v>
      </c>
      <c r="E151" s="11"/>
      <c r="F151" s="11"/>
      <c r="G151" s="11">
        <v>40909.604166666664</v>
      </c>
      <c r="H151" s="12">
        <f>(IF(G151&gt;D151,(G151-D151)*24,24+(G151-D151)*24))-4</f>
        <v>0.5</v>
      </c>
      <c r="I151" s="1">
        <f>(IF(G151&gt;D151,(G151-D151)*24,24+(G151-D151)*24))</f>
        <v>4.5</v>
      </c>
      <c r="J151" s="1"/>
      <c r="K151" s="1">
        <f>I151-0.5</f>
        <v>4</v>
      </c>
    </row>
    <row r="152" ht="14.25">
      <c r="A152" s="8">
        <v>148</v>
      </c>
      <c r="B152" s="9" t="s">
        <v>297</v>
      </c>
      <c r="C152" s="10" t="s">
        <v>298</v>
      </c>
      <c r="D152" s="11">
        <v>40909.5</v>
      </c>
      <c r="E152" s="11"/>
      <c r="F152" s="11"/>
      <c r="G152" s="11">
        <v>40909.770833333328</v>
      </c>
      <c r="H152" s="12">
        <f>(IF(G152&gt;D152,(G152-D152)*24,24+(G152-D152)*24))-4</f>
        <v>2.4999999998835847</v>
      </c>
      <c r="I152" s="1">
        <f>(IF(G152&gt;D152,(G152-D152)*24,24+(G152-D152)*24))</f>
        <v>6.4999999998835847</v>
      </c>
      <c r="J152" s="1"/>
      <c r="K152" s="1">
        <f>I152-0.5</f>
        <v>5.9999999998835847</v>
      </c>
    </row>
    <row r="153" ht="14.25">
      <c r="A153" s="8">
        <v>149</v>
      </c>
      <c r="B153" s="9" t="s">
        <v>299</v>
      </c>
      <c r="C153" s="10" t="s">
        <v>300</v>
      </c>
      <c r="D153" s="11">
        <v>40909.520833333328</v>
      </c>
      <c r="E153" s="11"/>
      <c r="F153" s="11"/>
      <c r="G153" s="11">
        <v>40909.791666666664</v>
      </c>
      <c r="H153" s="12">
        <f>(IF(G153&gt;D153,(G153-D153)*24,24+(G153-D153)*24))-4</f>
        <v>2.5000000000582077</v>
      </c>
      <c r="I153" s="1">
        <f>(IF(G153&gt;D153,(G153-D153)*24,24+(G153-D153)*24))</f>
        <v>6.5000000000582077</v>
      </c>
      <c r="J153" s="1"/>
      <c r="K153" s="1">
        <f>I153-0.5</f>
        <v>6.0000000000582077</v>
      </c>
    </row>
    <row r="154" ht="14.25">
      <c r="A154" s="8">
        <v>150</v>
      </c>
      <c r="B154" s="9" t="s">
        <v>301</v>
      </c>
      <c r="C154" s="10" t="s">
        <v>302</v>
      </c>
      <c r="D154" s="11">
        <v>40909.541666666664</v>
      </c>
      <c r="E154" s="11"/>
      <c r="F154" s="11"/>
      <c r="G154" s="11">
        <v>40909.8125</v>
      </c>
      <c r="H154" s="12">
        <f>(IF(G154&gt;D154,(G154-D154)*24,24+(G154-D154)*24))-4</f>
        <v>2.5000000000582077</v>
      </c>
      <c r="I154" s="1">
        <f>(IF(G154&gt;D154,(G154-D154)*24,24+(G154-D154)*24))</f>
        <v>6.5000000000582077</v>
      </c>
      <c r="J154" s="1"/>
      <c r="K154" s="1">
        <f>I154-0.5</f>
        <v>6.0000000000582077</v>
      </c>
    </row>
    <row r="155" ht="14.25">
      <c r="A155" s="8">
        <v>151</v>
      </c>
      <c r="B155" s="9" t="s">
        <v>303</v>
      </c>
      <c r="C155" s="10" t="s">
        <v>304</v>
      </c>
      <c r="D155" s="11">
        <v>40909.5625</v>
      </c>
      <c r="E155" s="11"/>
      <c r="F155" s="11"/>
      <c r="G155" s="11">
        <v>40909.833333333328</v>
      </c>
      <c r="H155" s="12">
        <f>(IF(G155&gt;D155,(G155-D155)*24,24+(G155-D155)*24))-4</f>
        <v>2.4999999998835847</v>
      </c>
      <c r="I155" s="1">
        <f>(IF(G155&gt;D155,(G155-D155)*24,24+(G155-D155)*24))</f>
        <v>6.4999999998835847</v>
      </c>
      <c r="J155" s="1"/>
      <c r="K155" s="1">
        <f>I155-0.5</f>
        <v>5.9999999998835847</v>
      </c>
    </row>
    <row r="156" ht="14.25">
      <c r="A156" s="8">
        <v>152</v>
      </c>
      <c r="B156" s="9" t="s">
        <v>305</v>
      </c>
      <c r="C156" s="10" t="s">
        <v>306</v>
      </c>
      <c r="D156" s="11">
        <v>40909.583333333328</v>
      </c>
      <c r="E156" s="11"/>
      <c r="F156" s="11"/>
      <c r="G156" s="11">
        <v>40909.854166666664</v>
      </c>
      <c r="H156" s="12">
        <f>(IF(G156&gt;D156,(G156-D156)*24,24+(G156-D156)*24))-4</f>
        <v>2.5000000000582077</v>
      </c>
      <c r="I156" s="1">
        <f>(IF(G156&gt;D156,(G156-D156)*24,24+(G156-D156)*24))</f>
        <v>6.5000000000582077</v>
      </c>
      <c r="J156" s="1"/>
      <c r="K156" s="1">
        <f>I156-0.5</f>
        <v>6.0000000000582077</v>
      </c>
    </row>
    <row r="157" ht="14.25">
      <c r="A157" s="8">
        <v>153</v>
      </c>
      <c r="B157" s="9" t="s">
        <v>307</v>
      </c>
      <c r="C157" s="10" t="s">
        <v>308</v>
      </c>
      <c r="D157" s="11">
        <v>40909.604166666664</v>
      </c>
      <c r="E157" s="11"/>
      <c r="F157" s="11"/>
      <c r="G157" s="11">
        <v>40909.875</v>
      </c>
      <c r="H157" s="12">
        <f>(IF(G157&gt;D157,(G157-D157)*24,24+(G157-D157)*24))-4</f>
        <v>2.5000000000582077</v>
      </c>
      <c r="I157" s="1">
        <f>(IF(G157&gt;D157,(G157-D157)*24,24+(G157-D157)*24))</f>
        <v>6.5000000000582077</v>
      </c>
      <c r="J157" s="1"/>
      <c r="K157" s="1">
        <f>I157-0.5</f>
        <v>6.0000000000582077</v>
      </c>
    </row>
    <row r="158" ht="14.25">
      <c r="A158" s="8">
        <v>154</v>
      </c>
      <c r="B158" s="9" t="s">
        <v>309</v>
      </c>
      <c r="C158" s="10" t="s">
        <v>310</v>
      </c>
      <c r="D158" s="11">
        <v>40909.625</v>
      </c>
      <c r="E158" s="11"/>
      <c r="F158" s="11"/>
      <c r="G158" s="11">
        <v>40909.895833333328</v>
      </c>
      <c r="H158" s="12">
        <f>(IF(G158&gt;D158,(G158-D158)*24,24+(G158-D158)*24))-4</f>
        <v>2.4999999998835847</v>
      </c>
      <c r="I158" s="1">
        <f>(IF(G158&gt;D158,(G158-D158)*24,24+(G158-D158)*24))</f>
        <v>6.4999999998835847</v>
      </c>
      <c r="J158" s="1"/>
      <c r="K158" s="1">
        <f>I158-0.5</f>
        <v>5.9999999998835847</v>
      </c>
    </row>
    <row r="159" ht="14.25">
      <c r="A159" s="8">
        <v>155</v>
      </c>
      <c r="B159" s="9" t="s">
        <v>311</v>
      </c>
      <c r="C159" s="10" t="s">
        <v>312</v>
      </c>
      <c r="D159" s="11">
        <v>40909.645833333328</v>
      </c>
      <c r="E159" s="11"/>
      <c r="F159" s="11"/>
      <c r="G159" s="11">
        <v>40909.916666666664</v>
      </c>
      <c r="H159" s="12">
        <f>(IF(G159&gt;D159,(G159-D159)*24,24+(G159-D159)*24))-4</f>
        <v>2.5000000000582077</v>
      </c>
      <c r="I159" s="1">
        <f>(IF(G159&gt;D159,(G159-D159)*24,24+(G159-D159)*24))</f>
        <v>6.5000000000582077</v>
      </c>
      <c r="J159" s="1"/>
      <c r="K159" s="1">
        <f>I159-0.5</f>
        <v>6.0000000000582077</v>
      </c>
    </row>
    <row r="160" ht="14.25">
      <c r="A160" s="8">
        <v>156</v>
      </c>
      <c r="B160" s="9" t="s">
        <v>313</v>
      </c>
      <c r="C160" s="10" t="s">
        <v>314</v>
      </c>
      <c r="D160" s="11">
        <v>40909.666666666664</v>
      </c>
      <c r="E160" s="11"/>
      <c r="F160" s="11"/>
      <c r="G160" s="11">
        <v>40909.9375</v>
      </c>
      <c r="H160" s="12">
        <f>(IF(G160&gt;D160,(G160-D160)*24,24+(G160-D160)*24))-4</f>
        <v>2.5000000000582077</v>
      </c>
      <c r="I160" s="1">
        <f>(IF(G160&gt;D160,(G160-D160)*24,24+(G160-D160)*24))</f>
        <v>6.5000000000582077</v>
      </c>
      <c r="J160" s="1"/>
      <c r="K160" s="1">
        <f>I160-0.5</f>
        <v>6.0000000000582077</v>
      </c>
    </row>
    <row r="161" ht="14.25">
      <c r="A161" s="8">
        <v>157</v>
      </c>
      <c r="B161" s="9" t="s">
        <v>315</v>
      </c>
      <c r="C161" s="10" t="s">
        <v>316</v>
      </c>
      <c r="D161" s="11">
        <v>40909.6875</v>
      </c>
      <c r="E161" s="11"/>
      <c r="F161" s="11"/>
      <c r="G161" s="11">
        <v>40909.958333333328</v>
      </c>
      <c r="H161" s="12">
        <f>(IF(G161&gt;D161,(G161-D161)*24,24+(G161-D161)*24))-4</f>
        <v>2.4999999998835847</v>
      </c>
      <c r="I161" s="1">
        <f>(IF(G161&gt;D161,(G161-D161)*24,24+(G161-D161)*24))</f>
        <v>6.4999999998835847</v>
      </c>
      <c r="J161" s="1"/>
      <c r="K161" s="1">
        <f>I161-0.5</f>
        <v>5.9999999998835847</v>
      </c>
    </row>
    <row r="162" ht="14.25">
      <c r="A162" s="8">
        <v>158</v>
      </c>
      <c r="B162" s="9" t="s">
        <v>317</v>
      </c>
      <c r="C162" s="10" t="s">
        <v>318</v>
      </c>
      <c r="D162" s="11">
        <v>40909.4375</v>
      </c>
      <c r="E162" s="11"/>
      <c r="F162" s="11"/>
      <c r="G162" s="11">
        <v>40909.625</v>
      </c>
      <c r="H162" s="12">
        <f>(IF(G162&gt;D162,(G162-D162)*24,24+(G162-D162)*24))-4</f>
        <v>0.5</v>
      </c>
      <c r="I162" s="1">
        <f>(IF(G162&gt;D162,(G162-D162)*24,24+(G162-D162)*24))</f>
        <v>4.5</v>
      </c>
      <c r="J162" s="1"/>
      <c r="K162" s="1">
        <f>I162-0.5</f>
        <v>4</v>
      </c>
    </row>
    <row r="163" ht="14.25">
      <c r="A163" s="8">
        <v>159</v>
      </c>
      <c r="B163" s="9" t="s">
        <v>319</v>
      </c>
      <c r="C163" s="10" t="s">
        <v>320</v>
      </c>
      <c r="D163" s="11">
        <v>40909.708333333328</v>
      </c>
      <c r="E163" s="11"/>
      <c r="F163" s="11"/>
      <c r="G163" s="11">
        <v>40909.979166666664</v>
      </c>
      <c r="H163" s="12">
        <f>(IF(G163&gt;D163,(G163-D163)*24,24+(G163-D163)*24))-4</f>
        <v>2.5000000000582077</v>
      </c>
      <c r="I163" s="1">
        <f>(IF(G163&gt;D163,(G163-D163)*24,24+(G163-D163)*24))</f>
        <v>6.5000000000582077</v>
      </c>
      <c r="J163" s="1"/>
      <c r="K163" s="1">
        <f>I163-0.5</f>
        <v>6.0000000000582077</v>
      </c>
    </row>
    <row r="164" ht="14.25">
      <c r="A164" s="8">
        <v>160</v>
      </c>
      <c r="B164" s="9" t="s">
        <v>321</v>
      </c>
      <c r="C164" s="10" t="s">
        <v>322</v>
      </c>
      <c r="D164" s="11">
        <v>40909.729166666664</v>
      </c>
      <c r="E164" s="11"/>
      <c r="F164" s="11"/>
      <c r="G164" s="11">
        <v>40909</v>
      </c>
      <c r="H164" s="12">
        <f>(IF(G164&gt;D164,(G164-D164)*24,24+(G164-D164)*24))-4</f>
        <v>2.5000000000582077</v>
      </c>
      <c r="I164" s="1">
        <f>(IF(G164&gt;D164,(G164-D164)*24,24+(G164-D164)*24))</f>
        <v>6.5000000000582077</v>
      </c>
      <c r="J164" s="1"/>
      <c r="K164" s="1">
        <f>I164-0.5</f>
        <v>6.0000000000582077</v>
      </c>
    </row>
    <row r="165" ht="14.25">
      <c r="A165" s="8">
        <v>161</v>
      </c>
      <c r="B165" s="9" t="s">
        <v>323</v>
      </c>
      <c r="C165" s="10" t="s">
        <v>324</v>
      </c>
      <c r="D165" s="11">
        <v>40909.75</v>
      </c>
      <c r="E165" s="11"/>
      <c r="F165" s="11"/>
      <c r="G165" s="11">
        <v>40909.020833333328</v>
      </c>
      <c r="H165" s="12">
        <f>(IF(G165&gt;D165,(G165-D165)*24,24+(G165-D165)*24))-4</f>
        <v>2.4999999998835847</v>
      </c>
      <c r="I165" s="1">
        <f>(IF(G165&gt;D165,(G165-D165)*24,24+(G165-D165)*24))</f>
        <v>6.4999999998835847</v>
      </c>
      <c r="J165" s="1"/>
      <c r="K165" s="1">
        <f>I165-0.5</f>
        <v>5.9999999998835847</v>
      </c>
    </row>
    <row r="166" ht="14.25">
      <c r="A166" s="8">
        <v>162</v>
      </c>
      <c r="B166" s="9" t="s">
        <v>325</v>
      </c>
      <c r="C166" s="10" t="s">
        <v>326</v>
      </c>
      <c r="D166" s="11">
        <v>40909.770833333328</v>
      </c>
      <c r="E166" s="11"/>
      <c r="F166" s="11"/>
      <c r="G166" s="11">
        <v>40909.041666666664</v>
      </c>
      <c r="H166" s="12">
        <f>(IF(G166&gt;D166,(G166-D166)*24,24+(G166-D166)*24))-4</f>
        <v>2.5000000000582077</v>
      </c>
      <c r="I166" s="1">
        <f>(IF(G166&gt;D166,(G166-D166)*24,24+(G166-D166)*24))</f>
        <v>6.5000000000582077</v>
      </c>
      <c r="J166" s="1"/>
      <c r="K166" s="1">
        <f>I166-0.5</f>
        <v>6.0000000000582077</v>
      </c>
    </row>
    <row r="167" ht="14.25">
      <c r="A167" s="8">
        <v>163</v>
      </c>
      <c r="B167" s="9" t="s">
        <v>327</v>
      </c>
      <c r="C167" s="10" t="s">
        <v>328</v>
      </c>
      <c r="D167" s="11">
        <v>40909.791666666664</v>
      </c>
      <c r="E167" s="11"/>
      <c r="F167" s="11"/>
      <c r="G167" s="11">
        <v>40909.0625</v>
      </c>
      <c r="H167" s="12">
        <f>(IF(G167&gt;D167,(G167-D167)*24,24+(G167-D167)*24))-4</f>
        <v>2.5000000000582077</v>
      </c>
      <c r="I167" s="1">
        <f>(IF(G167&gt;D167,(G167-D167)*24,24+(G167-D167)*24))</f>
        <v>6.5000000000582077</v>
      </c>
      <c r="J167" s="1"/>
      <c r="K167" s="1">
        <f>I167-0.5</f>
        <v>6.0000000000582077</v>
      </c>
    </row>
    <row r="168" ht="14.25">
      <c r="A168" s="8">
        <v>164</v>
      </c>
      <c r="B168" s="9" t="s">
        <v>329</v>
      </c>
      <c r="C168" s="10" t="s">
        <v>330</v>
      </c>
      <c r="D168" s="11">
        <v>40909.8125</v>
      </c>
      <c r="E168" s="11"/>
      <c r="F168" s="11"/>
      <c r="G168" s="11">
        <v>40909.083333333328</v>
      </c>
      <c r="H168" s="12">
        <f>(IF(G168&gt;D168,(G168-D168)*24,24+(G168-D168)*24))-4</f>
        <v>2.4999999998835847</v>
      </c>
      <c r="I168" s="1">
        <f>(IF(G168&gt;D168,(G168-D168)*24,24+(G168-D168)*24))</f>
        <v>6.4999999998835847</v>
      </c>
      <c r="J168" s="1"/>
      <c r="K168" s="1">
        <f>I168-0.5</f>
        <v>5.9999999998835847</v>
      </c>
    </row>
    <row r="169" ht="14.25">
      <c r="A169" s="8">
        <v>165</v>
      </c>
      <c r="B169" s="9" t="s">
        <v>331</v>
      </c>
      <c r="C169" s="10" t="s">
        <v>332</v>
      </c>
      <c r="D169" s="11">
        <v>42880.770833333328</v>
      </c>
      <c r="E169" s="11">
        <v>42880</v>
      </c>
      <c r="F169" s="11">
        <v>42880</v>
      </c>
      <c r="G169" s="11">
        <v>42880.9375</v>
      </c>
      <c r="H169" s="12">
        <f>(IF(G169&gt;D169,(G169-D169)*24,24+(G169-D169)*24))-4</f>
        <v>1.1641532182693481e-10</v>
      </c>
      <c r="I169" s="1">
        <f>(IF(G169&gt;D169,(G169-D169)*24,24+(G169-D169)*24))</f>
        <v>4.0000000001164153</v>
      </c>
      <c r="J169" s="1"/>
      <c r="K169" s="1">
        <f>I169-0.5</f>
        <v>3.5000000001164153</v>
      </c>
    </row>
    <row r="170" ht="14.25">
      <c r="A170" s="8">
        <v>166</v>
      </c>
      <c r="B170" s="9" t="s">
        <v>333</v>
      </c>
      <c r="C170" s="10" t="s">
        <v>334</v>
      </c>
      <c r="D170" s="11">
        <v>40909.458333333328</v>
      </c>
      <c r="E170" s="11"/>
      <c r="F170" s="11"/>
      <c r="G170" s="11">
        <v>40909.645833333328</v>
      </c>
      <c r="H170" s="12">
        <f>(IF(G170&gt;D170,(G170-D170)*24,24+(G170-D170)*24))-4</f>
        <v>0.5</v>
      </c>
      <c r="I170" s="1">
        <f>(IF(G170&gt;D170,(G170-D170)*24,24+(G170-D170)*24))</f>
        <v>4.5</v>
      </c>
      <c r="J170" s="1"/>
      <c r="K170" s="1">
        <f>I170-0.5</f>
        <v>4</v>
      </c>
    </row>
    <row r="171" ht="14.25">
      <c r="A171" s="8">
        <v>167</v>
      </c>
      <c r="B171" s="9" t="s">
        <v>335</v>
      </c>
      <c r="C171" s="10" t="s">
        <v>336</v>
      </c>
      <c r="D171" s="11">
        <v>40909.479166666664</v>
      </c>
      <c r="E171" s="11"/>
      <c r="F171" s="11"/>
      <c r="G171" s="11">
        <v>40909.666666666664</v>
      </c>
      <c r="H171" s="12">
        <f>(IF(G171&gt;D171,(G171-D171)*24,24+(G171-D171)*24))-4</f>
        <v>0.5</v>
      </c>
      <c r="I171" s="1">
        <f>(IF(G171&gt;D171,(G171-D171)*24,24+(G171-D171)*24))</f>
        <v>4.5</v>
      </c>
      <c r="J171" s="1"/>
      <c r="K171" s="1">
        <f>I171-0.5</f>
        <v>4</v>
      </c>
    </row>
    <row r="172" ht="14.25">
      <c r="A172" s="8">
        <v>168</v>
      </c>
      <c r="B172" s="9" t="s">
        <v>337</v>
      </c>
      <c r="C172" s="10" t="s">
        <v>338</v>
      </c>
      <c r="D172" s="11"/>
      <c r="E172" s="11"/>
      <c r="F172" s="11"/>
      <c r="G172" s="11"/>
      <c r="H172" s="12">
        <f>(IF(G172&gt;D172,(G172-D172)*24,24+(G172-D172)*24))-4</f>
        <v>20</v>
      </c>
      <c r="I172" s="1"/>
      <c r="J172" s="1"/>
      <c r="K172" s="1"/>
    </row>
    <row r="173" ht="14.25">
      <c r="A173" s="8">
        <v>169</v>
      </c>
      <c r="B173" s="9" t="s">
        <v>339</v>
      </c>
      <c r="C173" s="10" t="s">
        <v>340</v>
      </c>
      <c r="D173" s="11">
        <v>40909.3125</v>
      </c>
      <c r="E173" s="11">
        <v>40909.5</v>
      </c>
      <c r="F173" s="11">
        <v>40909.666666666664</v>
      </c>
      <c r="G173" s="11">
        <v>40909.854166666664</v>
      </c>
      <c r="H173" s="12">
        <f>(IF(G173&gt;D173,(G173-D173)*24,24+(G173-D173)*24))-4</f>
        <v>8.9999999999417923</v>
      </c>
      <c r="I173" s="1">
        <f>(IF(E173&gt;D173,(E173-D173)*24,24+(E173-D173)*24))</f>
        <v>4.5</v>
      </c>
      <c r="J173" s="1">
        <f>IF(G173&gt;F173,(G173-F173)*24,24+(G173-F173)*24)</f>
        <v>4.5</v>
      </c>
      <c r="K173" s="1">
        <f>I173+J173-1</f>
        <v>8</v>
      </c>
    </row>
    <row r="174" ht="14.25">
      <c r="A174" s="8">
        <v>170</v>
      </c>
      <c r="B174" s="9" t="s">
        <v>341</v>
      </c>
      <c r="C174" s="10" t="s">
        <v>342</v>
      </c>
      <c r="D174" s="11">
        <v>40909.354166666664</v>
      </c>
      <c r="E174" s="11">
        <v>40909.541666666664</v>
      </c>
      <c r="F174" s="11">
        <v>40909.708333333328</v>
      </c>
      <c r="G174" s="11">
        <v>40909.895833333328</v>
      </c>
      <c r="H174" s="12">
        <f>(IF(G174&gt;D174,(G174-D174)*24,24+(G174-D174)*24))-4</f>
        <v>8.9999999999417923</v>
      </c>
      <c r="I174" s="1">
        <f>(IF(E174&gt;D174,(E174-D174)*24,24+(E174-D174)*24))</f>
        <v>4.5</v>
      </c>
      <c r="J174" s="1">
        <f>IF(G174&gt;F174,(G174-F174)*24,24+(G174-F174)*24)</f>
        <v>4.5</v>
      </c>
      <c r="K174" s="1">
        <f>I174+J174-1</f>
        <v>8</v>
      </c>
    </row>
    <row r="175" ht="14.25">
      <c r="A175" s="8">
        <v>171</v>
      </c>
      <c r="B175" s="9" t="s">
        <v>343</v>
      </c>
      <c r="C175" s="10" t="s">
        <v>342</v>
      </c>
      <c r="D175" s="11">
        <v>40909.354166666664</v>
      </c>
      <c r="E175" s="11">
        <v>40909.520833333328</v>
      </c>
      <c r="F175" s="11">
        <v>40909.6875</v>
      </c>
      <c r="G175" s="11">
        <v>40909.895833333328</v>
      </c>
      <c r="H175" s="12">
        <f>(IF(G175&gt;D175,(G175-D175)*24,24+(G175-D175)*24))-4</f>
        <v>8.9999999999417923</v>
      </c>
      <c r="I175" s="1">
        <f>(IF(E175&gt;D175,(E175-D175)*24,24+(E175-D175)*24))</f>
        <v>3.9999999999417923</v>
      </c>
      <c r="J175" s="1">
        <f>IF(G175&gt;F175,(G175-F175)*24,24+(G175-F175)*24)</f>
        <v>4.9999999998835847</v>
      </c>
      <c r="K175" s="1">
        <f>I175+J175-1</f>
        <v>7.999999999825377</v>
      </c>
    </row>
    <row r="176" ht="14.25">
      <c r="A176" s="8">
        <v>172</v>
      </c>
      <c r="B176" s="9" t="s">
        <v>344</v>
      </c>
      <c r="C176" s="10" t="s">
        <v>345</v>
      </c>
      <c r="D176" s="11">
        <v>40909.354166666664</v>
      </c>
      <c r="E176" s="11">
        <v>40909.583333333328</v>
      </c>
      <c r="F176" s="11">
        <v>40909.770833333328</v>
      </c>
      <c r="G176" s="11">
        <v>40909.916666666664</v>
      </c>
      <c r="H176" s="12">
        <f>(IF(G176&gt;D176,(G176-D176)*24,24+(G176-D176)*24))-4</f>
        <v>9.5</v>
      </c>
      <c r="I176" s="1">
        <f>(IF(E176&gt;D176,(E176-D176)*24,24+(E176-D176)*24))</f>
        <v>5.4999999999417923</v>
      </c>
      <c r="J176" s="1">
        <f>IF(G176&gt;F176,(G176-F176)*24,24+(G176-F176)*24)</f>
        <v>3.5000000000582077</v>
      </c>
      <c r="K176" s="1">
        <f>I176+J176-1</f>
        <v>8</v>
      </c>
    </row>
    <row r="177" ht="14.25">
      <c r="A177" s="8">
        <v>173</v>
      </c>
      <c r="B177" s="9" t="s">
        <v>346</v>
      </c>
      <c r="C177" s="10" t="s">
        <v>347</v>
      </c>
      <c r="D177" s="11">
        <v>40909.375</v>
      </c>
      <c r="E177" s="11">
        <v>40909.541666666664</v>
      </c>
      <c r="F177" s="11">
        <v>40909.708333333328</v>
      </c>
      <c r="G177" s="11">
        <v>40909.916666666664</v>
      </c>
      <c r="H177" s="12">
        <f>(IF(G177&gt;D177,(G177-D177)*24,24+(G177-D177)*24))-4</f>
        <v>8.9999999999417923</v>
      </c>
      <c r="I177" s="1">
        <f>(IF(E177&gt;D177,(E177-D177)*24,24+(E177-D177)*24))</f>
        <v>3.9999999999417923</v>
      </c>
      <c r="J177" s="1">
        <f>IF(G177&gt;F177,(G177-F177)*24,24+(G177-F177)*24)</f>
        <v>5.0000000000582077</v>
      </c>
      <c r="K177" s="1">
        <f>I177+J177-1</f>
        <v>8</v>
      </c>
    </row>
    <row r="178" ht="14.25">
      <c r="A178" s="8">
        <v>174</v>
      </c>
      <c r="B178" s="9" t="s">
        <v>348</v>
      </c>
      <c r="C178" s="10" t="s">
        <v>172</v>
      </c>
      <c r="D178" s="11">
        <v>40909.375</v>
      </c>
      <c r="E178" s="11">
        <v>40909.5625</v>
      </c>
      <c r="F178" s="11">
        <v>40909.708333333328</v>
      </c>
      <c r="G178" s="11">
        <v>40909.895833333328</v>
      </c>
      <c r="H178" s="12">
        <f>(IF(G178&gt;D178,(G178-D178)*24,24+(G178-D178)*24))-4</f>
        <v>8.4999999998835847</v>
      </c>
      <c r="I178" s="1">
        <f>(IF(E178&gt;D178,(E178-D178)*24,24+(E178-D178)*24))</f>
        <v>4.5</v>
      </c>
      <c r="J178" s="1">
        <f>IF(G178&gt;F178,(G178-F178)*24,24+(G178-F178)*24)</f>
        <v>4.5</v>
      </c>
      <c r="K178" s="1">
        <f>I178+J178-1</f>
        <v>8</v>
      </c>
    </row>
    <row r="179" ht="14.25">
      <c r="A179" s="8">
        <v>175</v>
      </c>
      <c r="B179" s="9" t="s">
        <v>349</v>
      </c>
      <c r="C179" s="10" t="s">
        <v>350</v>
      </c>
      <c r="D179" s="11">
        <v>40909.375</v>
      </c>
      <c r="E179" s="11">
        <v>40909.583333333328</v>
      </c>
      <c r="F179" s="11">
        <v>40909.708333333328</v>
      </c>
      <c r="G179" s="11">
        <v>40909.875</v>
      </c>
      <c r="H179" s="12">
        <f>(IF(G179&gt;D179,(G179-D179)*24,24+(G179-D179)*24))-4</f>
        <v>8</v>
      </c>
      <c r="I179" s="1">
        <f>(IF(E179&gt;D179,(E179-D179)*24,24+(E179-D179)*24))</f>
        <v>4.9999999998835847</v>
      </c>
      <c r="J179" s="1">
        <f>IF(G179&gt;F179,(G179-F179)*24,24+(G179-F179)*24)</f>
        <v>4.0000000001164153</v>
      </c>
      <c r="K179" s="1">
        <f>I179+J179-1</f>
        <v>8</v>
      </c>
    </row>
    <row r="180" ht="14.25">
      <c r="A180" s="8">
        <v>176</v>
      </c>
      <c r="B180" s="9" t="s">
        <v>351</v>
      </c>
      <c r="C180" s="10" t="s">
        <v>347</v>
      </c>
      <c r="D180" s="11">
        <v>40909.375</v>
      </c>
      <c r="E180" s="11">
        <v>40909.583333333328</v>
      </c>
      <c r="F180" s="11">
        <v>40909.75</v>
      </c>
      <c r="G180" s="11">
        <v>40909.916666666664</v>
      </c>
      <c r="H180" s="12">
        <f>(IF(G180&gt;D180,(G180-D180)*24,24+(G180-D180)*24))-4</f>
        <v>8.9999999999417923</v>
      </c>
      <c r="I180" s="1">
        <f>(IF(E180&gt;D180,(E180-D180)*24,24+(E180-D180)*24))</f>
        <v>4.9999999998835847</v>
      </c>
      <c r="J180" s="1">
        <f>IF(G180&gt;F180,(G180-F180)*24,24+(G180-F180)*24)</f>
        <v>3.9999999999417923</v>
      </c>
      <c r="K180" s="1">
        <f>I180+J180-1</f>
        <v>7.999999999825377</v>
      </c>
    </row>
    <row r="181" ht="14.25">
      <c r="A181" s="8">
        <v>177</v>
      </c>
      <c r="B181" s="9" t="s">
        <v>352</v>
      </c>
      <c r="C181" s="10" t="s">
        <v>353</v>
      </c>
      <c r="D181" s="11">
        <v>40909.385416666664</v>
      </c>
      <c r="E181" s="11">
        <v>40909.572916666664</v>
      </c>
      <c r="F181" s="11">
        <v>40909.708333333328</v>
      </c>
      <c r="G181" s="11">
        <v>40909.895833333328</v>
      </c>
      <c r="H181" s="12">
        <f>(IF(G181&gt;D181,(G181-D181)*24,24+(G181-D181)*24))-4</f>
        <v>8.2499999999417923</v>
      </c>
      <c r="I181" s="1">
        <f>(IF(E181&gt;D181,(E181-D181)*24,24+(E181-D181)*24))</f>
        <v>4.5</v>
      </c>
      <c r="J181" s="1">
        <f>IF(G181&gt;F181,(G181-F181)*24,24+(G181-F181)*24)</f>
        <v>4.5</v>
      </c>
      <c r="K181" s="1">
        <f>I181+J181-1</f>
        <v>8</v>
      </c>
    </row>
    <row r="182" ht="14.25">
      <c r="A182" s="8">
        <v>178</v>
      </c>
      <c r="B182" s="9" t="s">
        <v>354</v>
      </c>
      <c r="C182" s="10" t="s">
        <v>355</v>
      </c>
      <c r="D182" s="11">
        <v>40909.395833333328</v>
      </c>
      <c r="E182" s="11">
        <v>40909.583333333328</v>
      </c>
      <c r="F182" s="11">
        <v>40909.708333333328</v>
      </c>
      <c r="G182" s="11">
        <v>40909.895833333328</v>
      </c>
      <c r="H182" s="12">
        <f>(IF(G182&gt;D182,(G182-D182)*24,24+(G182-D182)*24))-4</f>
        <v>8</v>
      </c>
      <c r="I182" s="1">
        <f>(IF(E182&gt;D182,(E182-D182)*24,24+(E182-D182)*24))</f>
        <v>4.5</v>
      </c>
      <c r="J182" s="1">
        <f>IF(G182&gt;F182,(G182-F182)*24,24+(G182-F182)*24)</f>
        <v>4.5</v>
      </c>
      <c r="K182" s="1">
        <f>I182+J182-1</f>
        <v>8</v>
      </c>
    </row>
    <row r="183" ht="14.25">
      <c r="A183" s="8">
        <v>179</v>
      </c>
      <c r="B183" s="9" t="s">
        <v>356</v>
      </c>
      <c r="C183" s="10" t="s">
        <v>357</v>
      </c>
      <c r="D183" s="11">
        <v>40909.395833333328</v>
      </c>
      <c r="E183" s="11">
        <v>40909.5625</v>
      </c>
      <c r="F183" s="11">
        <v>40909.729166666664</v>
      </c>
      <c r="G183" s="11">
        <v>40909.9375</v>
      </c>
      <c r="H183" s="12">
        <f>(IF(G183&gt;D183,(G183-D183)*24,24+(G183-D183)*24))-4</f>
        <v>9.0000000001164153</v>
      </c>
      <c r="I183" s="1">
        <f>(IF(E183&gt;D183,(E183-D183)*24,24+(E183-D183)*24))</f>
        <v>4.0000000001164153</v>
      </c>
      <c r="J183" s="1">
        <f>IF(G183&gt;F183,(G183-F183)*24,24+(G183-F183)*24)</f>
        <v>5.0000000000582077</v>
      </c>
      <c r="K183" s="1">
        <f>I183+J183-1</f>
        <v>8.000000000174623</v>
      </c>
    </row>
    <row r="184" ht="14.25">
      <c r="A184" s="8">
        <v>180</v>
      </c>
      <c r="B184" s="9" t="s">
        <v>358</v>
      </c>
      <c r="C184" s="10" t="s">
        <v>359</v>
      </c>
      <c r="D184" s="11">
        <v>40909.3125</v>
      </c>
      <c r="E184" s="11">
        <v>40909.5625</v>
      </c>
      <c r="F184" s="11">
        <v>40909.75</v>
      </c>
      <c r="G184" s="11">
        <v>40909.875</v>
      </c>
      <c r="H184" s="12">
        <f>(IF(G184&gt;D184,(G184-D184)*24,24+(G184-D184)*24))-4</f>
        <v>9.5</v>
      </c>
      <c r="I184" s="1">
        <f>(IF(E184&gt;D184,(E184-D184)*24,24+(E184-D184)*24))</f>
        <v>6</v>
      </c>
      <c r="J184" s="1">
        <f>IF(G184&gt;F184,(G184-F184)*24,24+(G184-F184)*24)</f>
        <v>3</v>
      </c>
      <c r="K184" s="1">
        <f>I184+J184-1</f>
        <v>8</v>
      </c>
    </row>
    <row r="185" ht="14.25">
      <c r="A185" s="8">
        <v>181</v>
      </c>
      <c r="B185" s="9" t="s">
        <v>360</v>
      </c>
      <c r="C185" s="10" t="s">
        <v>174</v>
      </c>
      <c r="D185" s="11">
        <v>40909.395833333328</v>
      </c>
      <c r="E185" s="11">
        <v>40909.583333333328</v>
      </c>
      <c r="F185" s="11">
        <v>40909.729166666664</v>
      </c>
      <c r="G185" s="11">
        <v>40909.916666666664</v>
      </c>
      <c r="H185" s="12">
        <f>(IF(G185&gt;D185,(G185-D185)*24,24+(G185-D185)*24))-4</f>
        <v>8.5000000000582077</v>
      </c>
      <c r="I185" s="1">
        <f>(IF(E185&gt;D185,(E185-D185)*24,24+(E185-D185)*24))</f>
        <v>4.5</v>
      </c>
      <c r="J185" s="1">
        <f>IF(G185&gt;F185,(G185-F185)*24,24+(G185-F185)*24)</f>
        <v>4.5</v>
      </c>
      <c r="K185" s="1">
        <f>I185+J185-1</f>
        <v>8</v>
      </c>
    </row>
    <row r="186" ht="14.25">
      <c r="A186" s="8">
        <v>182</v>
      </c>
      <c r="B186" s="9" t="s">
        <v>361</v>
      </c>
      <c r="C186" s="10" t="s">
        <v>357</v>
      </c>
      <c r="D186" s="11">
        <v>40909.395833333328</v>
      </c>
      <c r="E186" s="11">
        <v>40909.604166666664</v>
      </c>
      <c r="F186" s="11">
        <v>40909.770833333328</v>
      </c>
      <c r="G186" s="11">
        <v>40909.9375</v>
      </c>
      <c r="H186" s="12">
        <f>(IF(G186&gt;D186,(G186-D186)*24,24+(G186-D186)*24))-4</f>
        <v>9.0000000001164153</v>
      </c>
      <c r="I186" s="1">
        <f>(IF(E186&gt;D186,(E186-D186)*24,24+(E186-D186)*24))</f>
        <v>5.0000000000582077</v>
      </c>
      <c r="J186" s="1">
        <f>IF(G186&gt;F186,(G186-F186)*24,24+(G186-F186)*24)</f>
        <v>4.0000000001164153</v>
      </c>
      <c r="K186" s="1">
        <f>I186+J186-1</f>
        <v>8.000000000174623</v>
      </c>
    </row>
    <row r="187" ht="14.25">
      <c r="A187" s="8">
        <v>183</v>
      </c>
      <c r="B187" s="9" t="s">
        <v>362</v>
      </c>
      <c r="C187" s="10" t="s">
        <v>355</v>
      </c>
      <c r="D187" s="11">
        <v>40909.395833333328</v>
      </c>
      <c r="E187" s="11">
        <v>40909.583333333328</v>
      </c>
      <c r="F187" s="11">
        <v>40909.708333333328</v>
      </c>
      <c r="G187" s="11">
        <v>40909.895833333328</v>
      </c>
      <c r="H187" s="12">
        <f>(IF(G187&gt;D187,(G187-D187)*24,24+(G187-D187)*24))-4</f>
        <v>8</v>
      </c>
      <c r="I187" s="1">
        <f>(IF(E187&gt;D187,(E187-D187)*24,24+(E187-D187)*24))</f>
        <v>4.5</v>
      </c>
      <c r="J187" s="1">
        <f>IF(G187&gt;F187,(G187-F187)*24,24+(G187-F187)*24)</f>
        <v>4.5</v>
      </c>
      <c r="K187" s="1">
        <f>I187+J187-1</f>
        <v>8</v>
      </c>
    </row>
    <row r="188" ht="14.25">
      <c r="A188" s="8">
        <v>184</v>
      </c>
      <c r="B188" s="9" t="s">
        <v>363</v>
      </c>
      <c r="C188" s="10" t="s">
        <v>364</v>
      </c>
      <c r="D188" s="11">
        <v>40909.40625</v>
      </c>
      <c r="E188" s="11">
        <v>40909.572916666664</v>
      </c>
      <c r="F188" s="11">
        <v>40909.708333333328</v>
      </c>
      <c r="G188" s="11">
        <v>40909.916666666664</v>
      </c>
      <c r="H188" s="12">
        <f>(IF(G188&gt;D188,(G188-D188)*24,24+(G188-D188)*24))-4</f>
        <v>8.2499999999417923</v>
      </c>
      <c r="I188" s="1">
        <f>(IF(E188&gt;D188,(E188-D188)*24,24+(E188-D188)*24))</f>
        <v>3.9999999999417923</v>
      </c>
      <c r="J188" s="1">
        <f>IF(G188&gt;F188,(G188-F188)*24,24+(G188-F188)*24)</f>
        <v>5.0000000000582077</v>
      </c>
      <c r="K188" s="1">
        <f>I188+J188-1</f>
        <v>8</v>
      </c>
    </row>
    <row r="189" ht="14.25">
      <c r="A189" s="8">
        <v>185</v>
      </c>
      <c r="B189" s="9" t="s">
        <v>365</v>
      </c>
      <c r="C189" s="10" t="s">
        <v>366</v>
      </c>
      <c r="D189" s="11">
        <v>40909.416666666664</v>
      </c>
      <c r="E189" s="11">
        <v>40909.583333333328</v>
      </c>
      <c r="F189" s="11">
        <v>40909.708333333328</v>
      </c>
      <c r="G189" s="11">
        <v>40909.916666666664</v>
      </c>
      <c r="H189" s="12">
        <f>(IF(G189&gt;D189,(G189-D189)*24,24+(G189-D189)*24))-4</f>
        <v>8</v>
      </c>
      <c r="I189" s="1">
        <f>(IF(E189&gt;D189,(E189-D189)*24,24+(E189-D189)*24))</f>
        <v>3.9999999999417923</v>
      </c>
      <c r="J189" s="1">
        <f>IF(G189&gt;F189,(G189-F189)*24,24+(G189-F189)*24)</f>
        <v>5.0000000000582077</v>
      </c>
      <c r="K189" s="1">
        <f>I189+J189-1</f>
        <v>8</v>
      </c>
    </row>
    <row r="190" ht="14.25">
      <c r="A190" s="8">
        <v>186</v>
      </c>
      <c r="B190" s="9" t="s">
        <v>367</v>
      </c>
      <c r="C190" s="10" t="s">
        <v>176</v>
      </c>
      <c r="D190" s="11">
        <v>40909.416666666664</v>
      </c>
      <c r="E190" s="11">
        <v>40909.604166666664</v>
      </c>
      <c r="F190" s="11">
        <v>40909.75</v>
      </c>
      <c r="G190" s="11">
        <v>40909.9375</v>
      </c>
      <c r="H190" s="12">
        <f>(IF(G190&gt;D190,(G190-D190)*24,24+(G190-D190)*24))-4</f>
        <v>8.5000000000582077</v>
      </c>
      <c r="I190" s="1">
        <f>(IF(E190&gt;D190,(E190-D190)*24,24+(E190-D190)*24))</f>
        <v>4.5</v>
      </c>
      <c r="J190" s="1">
        <f>IF(G190&gt;F190,(G190-F190)*24,24+(G190-F190)*24)</f>
        <v>4.5</v>
      </c>
      <c r="K190" s="1">
        <f>I190+J190-1</f>
        <v>8</v>
      </c>
    </row>
    <row r="191" ht="14.25">
      <c r="A191" s="8">
        <v>187</v>
      </c>
      <c r="B191" s="9" t="s">
        <v>368</v>
      </c>
      <c r="C191" s="10" t="s">
        <v>369</v>
      </c>
      <c r="D191" s="11">
        <v>40909.416666666664</v>
      </c>
      <c r="E191" s="11">
        <v>40909.583333333328</v>
      </c>
      <c r="F191" s="11">
        <v>40909.75</v>
      </c>
      <c r="G191" s="11">
        <v>40909.958333333328</v>
      </c>
      <c r="H191" s="12">
        <f>(IF(G191&gt;D191,(G191-D191)*24,24+(G191-D191)*24))-4</f>
        <v>8.9999999999417923</v>
      </c>
      <c r="I191" s="1">
        <f>(IF(E191&gt;D191,(E191-D191)*24,24+(E191-D191)*24))</f>
        <v>3.9999999999417923</v>
      </c>
      <c r="J191" s="1">
        <f>IF(G191&gt;F191,(G191-F191)*24,24+(G191-F191)*24)</f>
        <v>4.9999999998835847</v>
      </c>
      <c r="K191" s="1">
        <f>I191+J191-1</f>
        <v>7.999999999825377</v>
      </c>
    </row>
    <row r="192" ht="14.25">
      <c r="A192" s="8">
        <v>188</v>
      </c>
      <c r="B192" s="9" t="s">
        <v>370</v>
      </c>
      <c r="C192" s="10" t="s">
        <v>369</v>
      </c>
      <c r="D192" s="11">
        <v>40909.416666666664</v>
      </c>
      <c r="E192" s="11">
        <v>40909.625</v>
      </c>
      <c r="F192" s="11">
        <v>40909.791666666664</v>
      </c>
      <c r="G192" s="11">
        <v>40909.958333333328</v>
      </c>
      <c r="H192" s="12">
        <f>(IF(G192&gt;D192,(G192-D192)*24,24+(G192-D192)*24))-4</f>
        <v>8.9999999999417923</v>
      </c>
      <c r="I192" s="1">
        <f>(IF(E192&gt;D192,(E192-D192)*24,24+(E192-D192)*24))</f>
        <v>5.0000000000582077</v>
      </c>
      <c r="J192" s="1">
        <f>IF(G192&gt;F192,(G192-F192)*24,24+(G192-F192)*24)</f>
        <v>3.9999999999417923</v>
      </c>
      <c r="K192" s="1">
        <f>I192+J192-1</f>
        <v>8</v>
      </c>
    </row>
    <row r="193" ht="14.25">
      <c r="A193" s="8">
        <v>189</v>
      </c>
      <c r="B193" s="9" t="s">
        <v>371</v>
      </c>
      <c r="C193" s="10" t="s">
        <v>372</v>
      </c>
      <c r="D193" s="11">
        <v>40909.4375</v>
      </c>
      <c r="E193" s="11">
        <v>40909.604166666664</v>
      </c>
      <c r="F193" s="11">
        <v>40909.708333333328</v>
      </c>
      <c r="G193" s="11">
        <v>40909.916666666664</v>
      </c>
      <c r="H193" s="12">
        <f>(IF(G193&gt;D193,(G193-D193)*24,24+(G193-D193)*24))-4</f>
        <v>7.4999999999417923</v>
      </c>
      <c r="I193" s="1">
        <f>(IF(E193&gt;D193,(E193-D193)*24,24+(E193-D193)*24))</f>
        <v>3.9999999999417923</v>
      </c>
      <c r="J193" s="1">
        <f>IF(G193&gt;F193,(G193-F193)*24,24+(G193-F193)*24)</f>
        <v>5.0000000000582077</v>
      </c>
      <c r="K193" s="1">
        <f>I193+J193-1</f>
        <v>8</v>
      </c>
    </row>
    <row r="194" ht="14.25">
      <c r="A194" s="8">
        <v>190</v>
      </c>
      <c r="B194" s="9" t="s">
        <v>373</v>
      </c>
      <c r="C194" s="10" t="s">
        <v>374</v>
      </c>
      <c r="D194" s="11">
        <v>40909.4375</v>
      </c>
      <c r="E194" s="11">
        <v>40909.604166666664</v>
      </c>
      <c r="F194" s="11">
        <v>40909.770833333328</v>
      </c>
      <c r="G194" s="11">
        <v>40909.979166666664</v>
      </c>
      <c r="H194" s="12">
        <f>(IF(G194&gt;D194,(G194-D194)*24,24+(G194-D194)*24))-4</f>
        <v>8.9999999999417923</v>
      </c>
      <c r="I194" s="1">
        <f>(IF(E194&gt;D194,(E194-D194)*24,24+(E194-D194)*24))</f>
        <v>3.9999999999417923</v>
      </c>
      <c r="J194" s="1">
        <f>IF(G194&gt;F194,(G194-F194)*24,24+(G194-F194)*24)</f>
        <v>5.0000000000582077</v>
      </c>
      <c r="K194" s="1">
        <f>I194+J194-1</f>
        <v>8</v>
      </c>
    </row>
    <row r="195" ht="14.25">
      <c r="A195" s="8">
        <v>191</v>
      </c>
      <c r="B195" s="9" t="s">
        <v>375</v>
      </c>
      <c r="C195" s="10" t="s">
        <v>340</v>
      </c>
      <c r="D195" s="11">
        <v>40909.3125</v>
      </c>
      <c r="E195" s="11">
        <v>40909.479166666664</v>
      </c>
      <c r="F195" s="11">
        <v>40909.645833333328</v>
      </c>
      <c r="G195" s="11">
        <v>40909.854166666664</v>
      </c>
      <c r="H195" s="12">
        <f>(IF(G195&gt;D195,(G195-D195)*24,24+(G195-D195)*24))-4</f>
        <v>8.9999999999417923</v>
      </c>
      <c r="I195" s="1">
        <f>(IF(E195&gt;D195,(E195-D195)*24,24+(E195-D195)*24))</f>
        <v>3.9999999999417923</v>
      </c>
      <c r="J195" s="1">
        <f>IF(G195&gt;F195,(G195-F195)*24,24+(G195-F195)*24)</f>
        <v>5.0000000000582077</v>
      </c>
      <c r="K195" s="1">
        <f>I195+J195-1</f>
        <v>8</v>
      </c>
    </row>
    <row r="196" ht="14.25">
      <c r="A196" s="8">
        <v>192</v>
      </c>
      <c r="B196" s="9" t="s">
        <v>376</v>
      </c>
      <c r="C196" s="10" t="s">
        <v>374</v>
      </c>
      <c r="D196" s="11">
        <v>40909.4375</v>
      </c>
      <c r="E196" s="11">
        <v>40909.645833333328</v>
      </c>
      <c r="F196" s="11">
        <v>40909.8125</v>
      </c>
      <c r="G196" s="11">
        <v>40909.979166666664</v>
      </c>
      <c r="H196" s="12">
        <f>(IF(G196&gt;D196,(G196-D196)*24,24+(G196-D196)*24))-4</f>
        <v>8.9999999999417923</v>
      </c>
      <c r="I196" s="1">
        <f>(IF(E196&gt;D196,(E196-D196)*24,24+(E196-D196)*24))</f>
        <v>4.9999999998835847</v>
      </c>
      <c r="J196" s="1">
        <f>IF(G196&gt;F196,(G196-F196)*24,24+(G196-F196)*24)</f>
        <v>3.9999999999417923</v>
      </c>
      <c r="K196" s="1">
        <f>I196+J196-1</f>
        <v>7.999999999825377</v>
      </c>
    </row>
    <row r="197" ht="14.25">
      <c r="A197" s="8">
        <v>193</v>
      </c>
      <c r="B197" s="9" t="s">
        <v>377</v>
      </c>
      <c r="C197" s="10" t="s">
        <v>372</v>
      </c>
      <c r="D197" s="11">
        <v>40909.4375</v>
      </c>
      <c r="E197" s="11">
        <v>40909.604166666664</v>
      </c>
      <c r="F197" s="11">
        <v>40909.708333333328</v>
      </c>
      <c r="G197" s="11">
        <v>40909.916666666664</v>
      </c>
      <c r="H197" s="12">
        <f>(IF(G197&gt;D197,(G197-D197)*24,24+(G197-D197)*24))-4</f>
        <v>7.4999999999417923</v>
      </c>
      <c r="I197" s="1">
        <f>(IF(E197&gt;D197,(E197-D197)*24,24+(E197-D197)*24))</f>
        <v>3.9999999999417923</v>
      </c>
      <c r="J197" s="1">
        <f>IF(G197&gt;F197,(G197-F197)*24,24+(G197-F197)*24)</f>
        <v>5.0000000000582077</v>
      </c>
      <c r="K197" s="1">
        <f>I197+J197-1</f>
        <v>8</v>
      </c>
    </row>
    <row r="198" ht="14.25">
      <c r="A198" s="8">
        <v>194</v>
      </c>
      <c r="B198" s="9" t="s">
        <v>378</v>
      </c>
      <c r="C198" s="10" t="s">
        <v>379</v>
      </c>
      <c r="D198" s="11">
        <v>40909.458333333328</v>
      </c>
      <c r="E198" s="11">
        <v>40909.645833333328</v>
      </c>
      <c r="F198" s="11">
        <v>40909.8125</v>
      </c>
      <c r="G198" s="11">
        <v>40909</v>
      </c>
      <c r="H198" s="12">
        <f>(IF(G198&gt;D198,(G198-D198)*24,24+(G198-D198)*24))-4</f>
        <v>9.0000000001164153</v>
      </c>
      <c r="I198" s="1">
        <f>(IF(E198&gt;D198,(E198-D198)*24,24+(E198-D198)*24))</f>
        <v>4.5</v>
      </c>
      <c r="J198" s="1">
        <f>IF(G198&gt;F198,(G198-F198)*24,24+(G198-F198)*24)</f>
        <v>4.5</v>
      </c>
      <c r="K198" s="1">
        <f>I198+J198-1</f>
        <v>8</v>
      </c>
    </row>
    <row r="199" ht="14.25">
      <c r="A199" s="8">
        <v>195</v>
      </c>
      <c r="B199" s="9" t="s">
        <v>380</v>
      </c>
      <c r="C199" s="10" t="s">
        <v>379</v>
      </c>
      <c r="D199" s="11">
        <v>40909.458333333328</v>
      </c>
      <c r="E199" s="11">
        <v>40909.625</v>
      </c>
      <c r="F199" s="11">
        <v>40909.791666666664</v>
      </c>
      <c r="G199" s="11">
        <v>40909</v>
      </c>
      <c r="H199" s="12">
        <f>(IF(G199&gt;D199,(G199-D199)*24,24+(G199-D199)*24))-4</f>
        <v>9.0000000001164153</v>
      </c>
      <c r="I199" s="1">
        <f>(IF(E199&gt;D199,(E199-D199)*24,24+(E199-D199)*24))</f>
        <v>4.0000000001164153</v>
      </c>
      <c r="J199" s="1">
        <f>IF(G199&gt;F199,(G199-F199)*24,24+(G199-F199)*24)</f>
        <v>5.0000000000582077</v>
      </c>
      <c r="K199" s="1">
        <f>I199+J199-1</f>
        <v>8.000000000174623</v>
      </c>
    </row>
    <row r="200" ht="14.25">
      <c r="A200" s="8">
        <v>196</v>
      </c>
      <c r="B200" s="9" t="s">
        <v>381</v>
      </c>
      <c r="C200" s="10" t="s">
        <v>379</v>
      </c>
      <c r="D200" s="11">
        <v>40909.458333333328</v>
      </c>
      <c r="E200" s="11">
        <v>40909.666666666664</v>
      </c>
      <c r="F200" s="11">
        <v>40909.833333333328</v>
      </c>
      <c r="G200" s="11">
        <v>40909</v>
      </c>
      <c r="H200" s="12">
        <f>(IF(G200&gt;D200,(G200-D200)*24,24+(G200-D200)*24))-4</f>
        <v>9.0000000001164153</v>
      </c>
      <c r="I200" s="1">
        <f>(IF(E200&gt;D200,(E200-D200)*24,24+(E200-D200)*24))</f>
        <v>5.0000000000582077</v>
      </c>
      <c r="J200" s="1">
        <f>IF(G200&gt;F200,(G200-F200)*24,24+(G200-F200)*24)</f>
        <v>4.0000000001164153</v>
      </c>
      <c r="K200" s="1">
        <f>I200+J200-1</f>
        <v>8.000000000174623</v>
      </c>
    </row>
    <row r="201" ht="14.25">
      <c r="A201" s="8">
        <v>197</v>
      </c>
      <c r="B201" s="9" t="s">
        <v>382</v>
      </c>
      <c r="C201" s="10" t="s">
        <v>383</v>
      </c>
      <c r="D201" s="11">
        <v>40909.479166666664</v>
      </c>
      <c r="E201" s="11">
        <v>40909.6875</v>
      </c>
      <c r="F201" s="11">
        <v>40909.770833333328</v>
      </c>
      <c r="G201" s="11">
        <v>40909.9375</v>
      </c>
      <c r="H201" s="12">
        <f>(IF(G201&gt;D201,(G201-D201)*24,24+(G201-D201)*24))-4</f>
        <v>7.0000000000582077</v>
      </c>
      <c r="I201" s="1">
        <f>(IF(E201&gt;D201,(E201-D201)*24,24+(E201-D201)*24))</f>
        <v>5.0000000000582077</v>
      </c>
      <c r="J201" s="1">
        <f>IF(G201&gt;F201,(G201-F201)*24,24+(G201-F201)*24)</f>
        <v>4.0000000001164153</v>
      </c>
      <c r="K201" s="1">
        <f>I201+J201-1</f>
        <v>8.000000000174623</v>
      </c>
    </row>
    <row r="202" ht="14.25">
      <c r="A202" s="8">
        <v>198</v>
      </c>
      <c r="B202" s="9" t="s">
        <v>384</v>
      </c>
      <c r="C202" s="10" t="s">
        <v>47</v>
      </c>
      <c r="D202" s="11">
        <v>42487.375</v>
      </c>
      <c r="E202" s="11">
        <v>42487.541666666664</v>
      </c>
      <c r="F202" s="11">
        <v>42487.541666666664</v>
      </c>
      <c r="G202" s="11">
        <v>42487.791666666664</v>
      </c>
      <c r="H202" s="12">
        <f>(IF(G202&gt;D202,(G202-D202)*24,24+(G202-D202)*24))-4</f>
        <v>5.9999999999417923</v>
      </c>
      <c r="I202" s="1">
        <f>(IF(E202&gt;D202,(E202-D202)*24,24+(E202-D202)*24))</f>
        <v>3.9999999999417923</v>
      </c>
      <c r="J202" s="1">
        <f>IF(G202&gt;F202,(G202-F202)*24,24+(G202-F202)*24)</f>
        <v>6</v>
      </c>
      <c r="K202" s="1">
        <f>I202+J202-1</f>
        <v>8.9999999999417923</v>
      </c>
    </row>
    <row r="203" ht="14.25">
      <c r="A203" s="8">
        <v>199</v>
      </c>
      <c r="B203" s="9" t="s">
        <v>385</v>
      </c>
      <c r="C203" s="10" t="s">
        <v>340</v>
      </c>
      <c r="D203" s="11">
        <v>40909.3125</v>
      </c>
      <c r="E203" s="11">
        <v>40909.520833333328</v>
      </c>
      <c r="F203" s="11">
        <v>40909.6875</v>
      </c>
      <c r="G203" s="11">
        <v>40909.854166666664</v>
      </c>
      <c r="H203" s="12">
        <f>(IF(G203&gt;D203,(G203-D203)*24,24+(G203-D203)*24))-4</f>
        <v>8.9999999999417923</v>
      </c>
      <c r="I203" s="1">
        <f>(IF(E203&gt;D203,(E203-D203)*24,24+(E203-D203)*24))</f>
        <v>4.9999999998835847</v>
      </c>
      <c r="J203" s="1">
        <f>IF(G203&gt;F203,(G203-F203)*24,24+(G203-F203)*24)</f>
        <v>3.9999999999417923</v>
      </c>
      <c r="K203" s="1">
        <f>I203+J203-1</f>
        <v>7.999999999825377</v>
      </c>
    </row>
    <row r="204" ht="14.25">
      <c r="A204" s="8">
        <v>200</v>
      </c>
      <c r="B204" s="9" t="s">
        <v>386</v>
      </c>
      <c r="C204" s="10" t="s">
        <v>387</v>
      </c>
      <c r="D204" s="11">
        <v>40909.333333333328</v>
      </c>
      <c r="E204" s="11">
        <v>40909.541666666664</v>
      </c>
      <c r="F204" s="11">
        <v>40909.666666666664</v>
      </c>
      <c r="G204" s="11">
        <v>40909.833333333328</v>
      </c>
      <c r="H204" s="12">
        <f>(IF(G204&gt;D204,(G204-D204)*24,24+(G204-D204)*24))-4</f>
        <v>8</v>
      </c>
      <c r="I204" s="1">
        <f>(IF(E204&gt;D204,(E204-D204)*24,24+(E204-D204)*24))</f>
        <v>5.0000000000582077</v>
      </c>
      <c r="J204" s="1">
        <f>IF(G204&gt;F204,(G204-F204)*24,24+(G204-F204)*24)</f>
        <v>3.9999999999417923</v>
      </c>
      <c r="K204" s="1">
        <f>I204+J204-1</f>
        <v>8</v>
      </c>
    </row>
    <row r="205" ht="14.25">
      <c r="A205" s="8">
        <v>201</v>
      </c>
      <c r="B205" s="9" t="s">
        <v>388</v>
      </c>
      <c r="C205" s="10" t="s">
        <v>389</v>
      </c>
      <c r="D205" s="11">
        <v>40909.333333333328</v>
      </c>
      <c r="E205" s="11">
        <v>40909.520833333328</v>
      </c>
      <c r="F205" s="11">
        <v>40909.6875</v>
      </c>
      <c r="G205" s="11">
        <v>40909.875</v>
      </c>
      <c r="H205" s="12">
        <f>(IF(G205&gt;D205,(G205-D205)*24,24+(G205-D205)*24))-4</f>
        <v>9.0000000001164153</v>
      </c>
      <c r="I205" s="1">
        <f>(IF(E205&gt;D205,(E205-D205)*24,24+(E205-D205)*24))</f>
        <v>4.5</v>
      </c>
      <c r="J205" s="1">
        <f>IF(G205&gt;F205,(G205-F205)*24,24+(G205-F205)*24)</f>
        <v>4.5</v>
      </c>
      <c r="K205" s="1">
        <f>I205+J205-1</f>
        <v>8</v>
      </c>
    </row>
    <row r="206" ht="14.25">
      <c r="A206" s="8">
        <v>202</v>
      </c>
      <c r="B206" s="9" t="s">
        <v>390</v>
      </c>
      <c r="C206" s="10" t="s">
        <v>389</v>
      </c>
      <c r="D206" s="11">
        <v>40909.333333333328</v>
      </c>
      <c r="E206" s="11">
        <v>40909.5</v>
      </c>
      <c r="F206" s="11">
        <v>40909.666666666664</v>
      </c>
      <c r="G206" s="11">
        <v>40909.875</v>
      </c>
      <c r="H206" s="12">
        <f>(IF(G206&gt;D206,(G206-D206)*24,24+(G206-D206)*24))-4</f>
        <v>9.0000000001164153</v>
      </c>
      <c r="I206" s="1">
        <f>(IF(E206&gt;D206,(E206-D206)*24,24+(E206-D206)*24))</f>
        <v>4.0000000001164153</v>
      </c>
      <c r="J206" s="1">
        <f>IF(G206&gt;F206,(G206-F206)*24,24+(G206-F206)*24)</f>
        <v>5.0000000000582077</v>
      </c>
      <c r="K206" s="1">
        <f>I206+J206-1</f>
        <v>8.000000000174623</v>
      </c>
    </row>
    <row r="207" ht="14.25">
      <c r="A207" s="8">
        <v>203</v>
      </c>
      <c r="B207" s="9" t="s">
        <v>391</v>
      </c>
      <c r="C207" s="10" t="s">
        <v>168</v>
      </c>
      <c r="D207" s="11">
        <v>40909.333333333328</v>
      </c>
      <c r="E207" s="11">
        <v>40909.5625</v>
      </c>
      <c r="F207" s="11">
        <v>40909.708333333328</v>
      </c>
      <c r="G207" s="11">
        <v>40909.854166666664</v>
      </c>
      <c r="H207" s="12">
        <f>(IF(G207&gt;D207,(G207-D207)*24,24+(G207-D207)*24))-4</f>
        <v>8.5000000000582077</v>
      </c>
      <c r="I207" s="1">
        <f>(IF(E207&gt;D207,(E207-D207)*24,24+(E207-D207)*24))</f>
        <v>5.5000000001164153</v>
      </c>
      <c r="J207" s="1">
        <f>IF(G207&gt;F207,(G207-F207)*24,24+(G207-F207)*24)</f>
        <v>3.5000000000582077</v>
      </c>
      <c r="K207" s="1">
        <f>I207+J207-1</f>
        <v>8.000000000174623</v>
      </c>
    </row>
    <row r="208" ht="14.25">
      <c r="A208" s="8">
        <v>204</v>
      </c>
      <c r="B208" s="9" t="s">
        <v>392</v>
      </c>
      <c r="C208" s="10" t="s">
        <v>389</v>
      </c>
      <c r="D208" s="11">
        <v>40909.333333333328</v>
      </c>
      <c r="E208" s="11">
        <v>40909.541666666664</v>
      </c>
      <c r="F208" s="11">
        <v>40909.708333333328</v>
      </c>
      <c r="G208" s="11">
        <v>40909.875</v>
      </c>
      <c r="H208" s="12">
        <f>(IF(G208&gt;D208,(G208-D208)*24,24+(G208-D208)*24))-4</f>
        <v>9.0000000001164153</v>
      </c>
      <c r="I208" s="1">
        <f>(IF(E208&gt;D208,(E208-D208)*24,24+(E208-D208)*24))</f>
        <v>5.0000000000582077</v>
      </c>
      <c r="J208" s="1">
        <f>IF(G208&gt;F208,(G208-F208)*24,24+(G208-F208)*24)</f>
        <v>4.0000000001164153</v>
      </c>
      <c r="K208" s="1">
        <f>I208+J208-1</f>
        <v>8.000000000174623</v>
      </c>
    </row>
    <row r="209" ht="14.25">
      <c r="A209" s="8">
        <v>205</v>
      </c>
      <c r="B209" s="9" t="s">
        <v>393</v>
      </c>
      <c r="C209" s="10" t="s">
        <v>394</v>
      </c>
      <c r="D209" s="11"/>
      <c r="E209" s="11"/>
      <c r="F209" s="11"/>
      <c r="G209" s="11"/>
      <c r="H209" s="12">
        <f>(IF(G209&gt;D209,(G209-D209)*24,24+(G209-D209)*24))-4</f>
        <v>20</v>
      </c>
      <c r="I209" s="1"/>
      <c r="J209" s="1"/>
      <c r="K209" s="1"/>
    </row>
    <row r="210" ht="14.25">
      <c r="A210" s="8">
        <v>206</v>
      </c>
      <c r="B210" s="9" t="s">
        <v>395</v>
      </c>
      <c r="C210" s="10" t="s">
        <v>396</v>
      </c>
      <c r="D210" s="11"/>
      <c r="E210" s="11"/>
      <c r="F210" s="11"/>
      <c r="G210" s="11"/>
      <c r="H210" s="12">
        <f>(IF(G210&gt;D210,(G210-D210)*24,24+(G210-D210)*24))-4</f>
        <v>20</v>
      </c>
      <c r="I210" s="1"/>
      <c r="J210" s="1"/>
      <c r="K210" s="1"/>
    </row>
  </sheetData>
  <mergeCells count="2">
    <mergeCell ref="D1:G1"/>
    <mergeCell ref="B2:G2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2026-06-14T16:55:00Z</dcterms:modified>
</cp:coreProperties>
</file>